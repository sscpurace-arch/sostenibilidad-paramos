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228"/>
  <workbookPr defaultThemeVersion="166925"/>
  <mc:AlternateContent xmlns:mc="http://schemas.openxmlformats.org/markup-compatibility/2006">
    <mc:Choice Requires="x15">
      <x15ac:absPath xmlns:x15ac="http://schemas.microsoft.com/office/spreadsheetml/2010/11/ac" url="E:\Backup Asus dic2024\CGC 2023\Informes Tecnicos\"/>
    </mc:Choice>
  </mc:AlternateContent>
  <xr:revisionPtr revIDLastSave="0" documentId="8_{9070F19B-44EC-47A5-8869-5D111D80E886}" xr6:coauthVersionLast="47" xr6:coauthVersionMax="47" xr10:uidLastSave="{00000000-0000-0000-0000-000000000000}"/>
  <bookViews>
    <workbookView xWindow="-108" yWindow="-108" windowWidth="23256" windowHeight="13896" xr2:uid="{F54C0DD7-DC1E-4562-8666-97ADAD6E57EB}"/>
  </bookViews>
  <sheets>
    <sheet name="consolidado" sheetId="1" r:id="rId1"/>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W41" i="1" l="1"/>
  <c r="BV48" i="1"/>
  <c r="BW58" i="1"/>
  <c r="BW60" i="1"/>
  <c r="BW61" i="1"/>
  <c r="BW62" i="1"/>
  <c r="BW63" i="1"/>
  <c r="BW65" i="1"/>
  <c r="BW66" i="1"/>
  <c r="BW67" i="1"/>
  <c r="BW68" i="1"/>
  <c r="BW69" i="1"/>
  <c r="BW70" i="1"/>
  <c r="BW71" i="1"/>
  <c r="BM77" i="1"/>
  <c r="BD79" i="1"/>
  <c r="DI79" i="1"/>
  <c r="BD80" i="1"/>
  <c r="DI80" i="1"/>
  <c r="BD81" i="1"/>
  <c r="DI81" i="1"/>
  <c r="BD82" i="1"/>
  <c r="DI82" i="1"/>
  <c r="BD88" i="1"/>
  <c r="BD89" i="1"/>
  <c r="BW89" i="1"/>
  <c r="BD90" i="1"/>
  <c r="BW90" i="1"/>
  <c r="BD91" i="1"/>
  <c r="BD92" i="1"/>
  <c r="BW92" i="1"/>
  <c r="BD93" i="1"/>
  <c r="BW93" i="1"/>
  <c r="BC94" i="1"/>
  <c r="BD94" i="1"/>
  <c r="BV94" i="1"/>
  <c r="BW94" i="1" s="1"/>
  <c r="BC95" i="1"/>
  <c r="BD95" i="1" s="1"/>
  <c r="BV95" i="1"/>
  <c r="BW95" i="1" s="1"/>
  <c r="BC96" i="1"/>
  <c r="BD96" i="1" s="1"/>
  <c r="BV96" i="1"/>
  <c r="BW96" i="1" s="1"/>
  <c r="BC97" i="1"/>
  <c r="BD97" i="1" s="1"/>
  <c r="BV97" i="1"/>
  <c r="BW97" i="1" s="1"/>
  <c r="DY106" i="1"/>
  <c r="BP107" i="1"/>
  <c r="BR107" i="1"/>
  <c r="BW107" i="1"/>
  <c r="DX107" i="1"/>
  <c r="DY109" i="1"/>
  <c r="BP110" i="1"/>
  <c r="BT110" i="1"/>
  <c r="BC111" i="1"/>
  <c r="BD111" i="1"/>
  <c r="BJ111" i="1"/>
  <c r="BQ111" i="1"/>
  <c r="BS111" i="1"/>
  <c r="DI111" i="1"/>
  <c r="DX111" i="1"/>
  <c r="BC112" i="1"/>
  <c r="BD112" i="1"/>
  <c r="BJ116" i="1"/>
  <c r="BH116" i="1"/>
  <c r="BD116" i="1"/>
  <c r="BC116" i="1"/>
  <c r="BJ115" i="1"/>
  <c r="BT15" i="1"/>
  <c r="BK15"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C2" authorId="0" shapeId="0" xr:uid="{584CB58B-7B7C-4D67-B889-F72D09EFFC99}">
      <text>
        <r>
          <rPr>
            <sz val="11"/>
            <color rgb="FF000000"/>
            <rFont val="Calibri"/>
            <scheme val="minor"/>
          </rPr>
          <t>Ficha PNN
======</t>
        </r>
      </text>
    </comment>
    <comment ref="E2" authorId="0" shapeId="0" xr:uid="{61A4E923-EE56-4E91-8212-7213D5FEBE3D}">
      <text>
        <r>
          <rPr>
            <sz val="11"/>
            <color rgb="FF000000"/>
            <rFont val="Calibri"/>
            <scheme val="minor"/>
          </rPr>
          <t>Ficha PNN
======</t>
        </r>
      </text>
    </comment>
    <comment ref="H2" authorId="0" shapeId="0" xr:uid="{94761AAA-5BC6-434F-9C21-DC5FACBE21C5}">
      <text>
        <r>
          <rPr>
            <sz val="11"/>
            <color rgb="FF000000"/>
            <rFont val="Calibri"/>
            <scheme val="minor"/>
          </rPr>
          <t>Ficha PNN
======</t>
        </r>
      </text>
    </comment>
    <comment ref="I2" authorId="0" shapeId="0" xr:uid="{FA636170-A767-4866-8068-840F8DBADD4A}">
      <text>
        <r>
          <rPr>
            <sz val="11"/>
            <color rgb="FF000000"/>
            <rFont val="Calibri"/>
            <scheme val="minor"/>
          </rPr>
          <t>Ficha PNN
======</t>
        </r>
      </text>
    </comment>
    <comment ref="P2" authorId="0" shapeId="0" xr:uid="{895C47AF-28F3-4045-B4CA-30E0914388B1}">
      <text>
        <r>
          <rPr>
            <sz val="11"/>
            <color rgb="FF000000"/>
            <rFont val="Calibri"/>
            <scheme val="minor"/>
          </rPr>
          <t>Ficha PNN
======</t>
        </r>
      </text>
    </comment>
    <comment ref="R2" authorId="0" shapeId="0" xr:uid="{3936F153-3D77-4436-B16E-BE132887EDA6}">
      <text>
        <r>
          <rPr>
            <sz val="11"/>
            <color rgb="FF000000"/>
            <rFont val="Calibri"/>
            <scheme val="minor"/>
          </rPr>
          <t>Ficha PNN
======</t>
        </r>
      </text>
    </comment>
    <comment ref="U2" authorId="0" shapeId="0" xr:uid="{7114FAEA-5CB2-492D-9673-33EFF4F6BAE2}">
      <text>
        <r>
          <rPr>
            <sz val="11"/>
            <color rgb="FF000000"/>
            <rFont val="Calibri"/>
            <scheme val="minor"/>
          </rPr>
          <t>Ficha PNN
======</t>
        </r>
      </text>
    </comment>
    <comment ref="W2" authorId="0" shapeId="0" xr:uid="{4B911D98-17F3-4978-9B56-CA4A8DE54F65}">
      <text>
        <r>
          <rPr>
            <sz val="11"/>
            <color rgb="FF000000"/>
            <rFont val="Calibri"/>
            <scheme val="minor"/>
          </rPr>
          <t>Ficha PNN
======</t>
        </r>
      </text>
    </comment>
    <comment ref="X2" authorId="0" shapeId="0" xr:uid="{A2F96C9D-3E2C-48CF-A671-DFE4739844EA}">
      <text>
        <r>
          <rPr>
            <sz val="11"/>
            <color rgb="FF000000"/>
            <rFont val="Calibri"/>
            <scheme val="minor"/>
          </rPr>
          <t>Ficha PNN
======</t>
        </r>
      </text>
    </comment>
    <comment ref="Z2" authorId="0" shapeId="0" xr:uid="{73C63E67-6420-424E-A78C-3748AA5C69A5}">
      <text>
        <r>
          <rPr>
            <sz val="11"/>
            <color rgb="FF000000"/>
            <rFont val="Calibri"/>
            <scheme val="minor"/>
          </rPr>
          <t>Ficha PNN
======</t>
        </r>
      </text>
    </comment>
    <comment ref="AD2" authorId="0" shapeId="0" xr:uid="{DC3EAA26-D997-4722-9900-FEF4CFE724C7}">
      <text>
        <r>
          <rPr>
            <sz val="11"/>
            <color rgb="FF000000"/>
            <rFont val="Calibri"/>
            <scheme val="minor"/>
          </rPr>
          <t>Ficha PNN
======</t>
        </r>
      </text>
    </comment>
    <comment ref="AE2" authorId="0" shapeId="0" xr:uid="{A0C6B521-30DE-4D1A-ACB3-8123884CC9DB}">
      <text>
        <r>
          <rPr>
            <sz val="11"/>
            <color rgb="FF000000"/>
            <rFont val="Calibri"/>
            <scheme val="minor"/>
          </rPr>
          <t>Ficha PNN
======</t>
        </r>
      </text>
    </comment>
    <comment ref="AF2" authorId="0" shapeId="0" xr:uid="{06F8725D-3D9A-49F4-ADCA-191E8957144A}">
      <text>
        <r>
          <rPr>
            <sz val="11"/>
            <color rgb="FF000000"/>
            <rFont val="Calibri"/>
            <scheme val="minor"/>
          </rPr>
          <t>Ficha PNN
======</t>
        </r>
      </text>
    </comment>
    <comment ref="AK2" authorId="0" shapeId="0" xr:uid="{9A42A2BD-22C3-4E29-89F3-7A0AD977B176}">
      <text>
        <r>
          <rPr>
            <sz val="11"/>
            <color rgb="FF000000"/>
            <rFont val="Calibri"/>
            <scheme val="minor"/>
          </rPr>
          <t>Ficha PNN
======</t>
        </r>
      </text>
    </comment>
    <comment ref="AM2" authorId="0" shapeId="0" xr:uid="{7A884CFD-E25E-4152-AA76-F0020BF44B01}">
      <text>
        <r>
          <rPr>
            <sz val="11"/>
            <color rgb="FF000000"/>
            <rFont val="Calibri"/>
            <scheme val="minor"/>
          </rPr>
          <t>Ficha PNN
======</t>
        </r>
      </text>
    </comment>
    <comment ref="AN2" authorId="0" shapeId="0" xr:uid="{51C15DC0-9FA9-472B-89A5-9659F58134D2}">
      <text>
        <r>
          <rPr>
            <sz val="11"/>
            <color rgb="FF000000"/>
            <rFont val="Calibri"/>
            <scheme val="minor"/>
          </rPr>
          <t>Ficha PNN
======</t>
        </r>
      </text>
    </comment>
    <comment ref="AO2" authorId="0" shapeId="0" xr:uid="{234E2E81-99A6-4B0A-90CA-B686390D5487}">
      <text>
        <r>
          <rPr>
            <sz val="11"/>
            <color rgb="FF000000"/>
            <rFont val="Calibri"/>
            <scheme val="minor"/>
          </rPr>
          <t>Ficha PNN
======</t>
        </r>
      </text>
    </comment>
    <comment ref="AP2" authorId="0" shapeId="0" xr:uid="{B1258B0D-4571-4F68-842E-6B7464B7B804}">
      <text>
        <r>
          <rPr>
            <sz val="11"/>
            <color rgb="FF000000"/>
            <rFont val="Calibri"/>
            <scheme val="minor"/>
          </rPr>
          <t>2 ha tiene fresa, pocos animales, no ha presentado sana posesión
======</t>
        </r>
      </text>
    </comment>
    <comment ref="AS2" authorId="0" shapeId="0" xr:uid="{27911485-21D9-4B66-87DE-2D66C46D99B7}">
      <text>
        <r>
          <rPr>
            <sz val="11"/>
            <color rgb="FF000000"/>
            <rFont val="Calibri"/>
            <scheme val="minor"/>
          </rPr>
          <t>Ficha PNN
======</t>
        </r>
      </text>
    </comment>
    <comment ref="AT2" authorId="0" shapeId="0" xr:uid="{44FF1BE4-D979-47E8-81FC-48B52771A176}">
      <text>
        <r>
          <rPr>
            <sz val="11"/>
            <color rgb="FF000000"/>
            <rFont val="Calibri"/>
            <scheme val="minor"/>
          </rPr>
          <t>Ficha PNN
======</t>
        </r>
      </text>
    </comment>
    <comment ref="AW2" authorId="0" shapeId="0" xr:uid="{5736DC80-C0D1-44D9-AF3B-7B6BB6D19C22}">
      <text>
        <r>
          <rPr>
            <sz val="11"/>
            <color rgb="FF000000"/>
            <rFont val="Calibri"/>
            <scheme val="minor"/>
          </rPr>
          <t>Ficha PNN
======</t>
        </r>
      </text>
    </comment>
    <comment ref="BF2" authorId="0" shapeId="0" xr:uid="{1C802EC1-00D0-4130-881C-FCC631228D72}">
      <text>
        <r>
          <rPr>
            <sz val="11"/>
            <color rgb="FF000000"/>
            <rFont val="Calibri"/>
            <scheme val="minor"/>
          </rPr>
          <t>Ficha PNN a nombre del padre Genrry Mera
======</t>
        </r>
      </text>
    </comment>
    <comment ref="BH2" authorId="0" shapeId="0" xr:uid="{BEFCCF02-B750-4E13-B30E-978AC74A1249}">
      <text>
        <r>
          <rPr>
            <sz val="11"/>
            <color rgb="FF000000"/>
            <rFont val="Calibri"/>
            <scheme val="minor"/>
          </rPr>
          <t>Ficha PNN
======</t>
        </r>
      </text>
    </comment>
    <comment ref="BK2" authorId="0" shapeId="0" xr:uid="{EDD7B6B9-363A-4E76-A982-9FCE6DF0E528}">
      <text>
        <r>
          <rPr>
            <sz val="11"/>
            <color rgb="FF000000"/>
            <rFont val="Calibri"/>
            <scheme val="minor"/>
          </rPr>
          <t>Ficha PNN
======</t>
        </r>
      </text>
    </comment>
    <comment ref="BO2" authorId="0" shapeId="0" xr:uid="{BBCA9BBB-4ADB-417E-A3FB-47716FA6BACF}">
      <text>
        <r>
          <rPr>
            <sz val="11"/>
            <color rgb="FF000000"/>
            <rFont val="Calibri"/>
            <scheme val="minor"/>
          </rPr>
          <t>Ficha PNN
======</t>
        </r>
      </text>
    </comment>
    <comment ref="BQ2" authorId="0" shapeId="0" xr:uid="{F75A0401-205C-47A5-A1CD-CDCBBB12AA9D}">
      <text>
        <r>
          <rPr>
            <sz val="11"/>
            <color rgb="FF000000"/>
            <rFont val="Calibri"/>
            <scheme val="minor"/>
          </rPr>
          <t>Ficha PNN
======</t>
        </r>
      </text>
    </comment>
    <comment ref="BV2" authorId="0" shapeId="0" xr:uid="{B6C1FA43-D26D-4877-8B1A-265989D7FD27}">
      <text>
        <r>
          <rPr>
            <sz val="11"/>
            <color rgb="FF000000"/>
            <rFont val="Calibri"/>
            <scheme val="minor"/>
          </rPr>
          <t>Ficha PNN
======</t>
        </r>
      </text>
    </comment>
    <comment ref="BY2" authorId="0" shapeId="0" xr:uid="{8946E10A-FF99-48E3-A52B-C4D0415E6301}">
      <text>
        <r>
          <rPr>
            <sz val="11"/>
            <color rgb="FF000000"/>
            <rFont val="Calibri"/>
            <scheme val="minor"/>
          </rPr>
          <t>Ficha PNN
Nombre del abuelo Jose Valentin Criollo Piamba
======</t>
        </r>
      </text>
    </comment>
    <comment ref="CA2" authorId="0" shapeId="0" xr:uid="{2A8B64E6-A3CD-4074-A895-23E1FFB043A9}">
      <text>
        <r>
          <rPr>
            <sz val="11"/>
            <color rgb="FF000000"/>
            <rFont val="Calibri"/>
            <scheme val="minor"/>
          </rPr>
          <t>Ficha PNN
======</t>
        </r>
      </text>
    </comment>
    <comment ref="CE2" authorId="0" shapeId="0" xr:uid="{90039F17-8CB2-44CA-9F80-B9751CEB1EE4}">
      <text>
        <r>
          <rPr>
            <sz val="11"/>
            <color rgb="FF000000"/>
            <rFont val="Calibri"/>
            <scheme val="minor"/>
          </rPr>
          <t>Mismo predio con RUBIO ALEXANDER GUERRERO ORDOÑEZ
======</t>
        </r>
      </text>
    </comment>
    <comment ref="CF2" authorId="0" shapeId="0" xr:uid="{E27C8F2D-EB4F-423F-9F60-81410031093C}">
      <text>
        <r>
          <rPr>
            <sz val="11"/>
            <color rgb="FF000000"/>
            <rFont val="Calibri"/>
            <scheme val="minor"/>
          </rPr>
          <t>mismo predio con AURIS MONTILLA CARVAJAL
======</t>
        </r>
      </text>
    </comment>
    <comment ref="CL2" authorId="0" shapeId="0" xr:uid="{86BF15C1-7DA3-4B60-B612-BF6C903F068D}">
      <text>
        <r>
          <rPr>
            <sz val="11"/>
            <color rgb="FF000000"/>
            <rFont val="Calibri"/>
            <scheme val="minor"/>
          </rPr>
          <t>Ficha PNN
======</t>
        </r>
      </text>
    </comment>
    <comment ref="CM2" authorId="0" shapeId="0" xr:uid="{06EDAC07-7E87-4CD7-A435-68F19189D5BA}">
      <text>
        <r>
          <rPr>
            <sz val="11"/>
            <color rgb="FF000000"/>
            <rFont val="Calibri"/>
            <scheme val="minor"/>
          </rPr>
          <t>Ficha PNN
======</t>
        </r>
      </text>
    </comment>
    <comment ref="CN2" authorId="0" shapeId="0" xr:uid="{99EB772C-D3F2-4FF3-9426-1C6E4287410D}">
      <text>
        <r>
          <rPr>
            <sz val="11"/>
            <color rgb="FF000000"/>
            <rFont val="Calibri"/>
            <scheme val="minor"/>
          </rPr>
          <t>revisar antecedentes cumplimiento proyecto anterior.
======</t>
        </r>
      </text>
    </comment>
    <comment ref="CO2" authorId="0" shapeId="0" xr:uid="{FA2B0767-299F-4C28-8BD3-5FA23625A5EA}">
      <text>
        <r>
          <rPr>
            <sz val="11"/>
            <color rgb="FF000000"/>
            <rFont val="Calibri"/>
            <scheme val="minor"/>
          </rPr>
          <t>Ficha PNN
======</t>
        </r>
      </text>
    </comment>
    <comment ref="CR2" authorId="0" shapeId="0" xr:uid="{715AFAB9-DDF7-4C14-8E81-23625F8F9DAD}">
      <text>
        <r>
          <rPr>
            <sz val="11"/>
            <color rgb="FF000000"/>
            <rFont val="Calibri"/>
            <scheme val="minor"/>
          </rPr>
          <t>Ficha PNN
======</t>
        </r>
      </text>
    </comment>
    <comment ref="CU2" authorId="0" shapeId="0" xr:uid="{D5A671BA-993D-4618-949D-5EDF61850F60}">
      <text>
        <r>
          <rPr>
            <sz val="11"/>
            <color rgb="FF000000"/>
            <rFont val="Calibri"/>
            <scheme val="minor"/>
          </rPr>
          <t>Ficha PNN
======</t>
        </r>
      </text>
    </comment>
    <comment ref="CV2" authorId="0" shapeId="0" xr:uid="{A6649557-4481-4CE6-BA59-A1C3118FD100}">
      <text>
        <r>
          <rPr>
            <sz val="11"/>
            <color rgb="FF000000"/>
            <rFont val="Calibri"/>
            <scheme val="minor"/>
          </rPr>
          <t>Con ficha PNN
======</t>
        </r>
      </text>
    </comment>
    <comment ref="CX2" authorId="0" shapeId="0" xr:uid="{C386F733-F5B7-49B2-A50C-D9FE163102AE}">
      <text>
        <r>
          <rPr>
            <sz val="11"/>
            <color rgb="FF000000"/>
            <rFont val="Calibri"/>
            <scheme val="minor"/>
          </rPr>
          <t>Ficha PNN
======</t>
        </r>
      </text>
    </comment>
    <comment ref="DA2" authorId="0" shapeId="0" xr:uid="{9E407FBF-E825-4202-96B8-B66E042E6516}">
      <text>
        <r>
          <rPr>
            <sz val="11"/>
            <color rgb="FF000000"/>
            <rFont val="Calibri"/>
            <scheme val="minor"/>
          </rPr>
          <t>Ficha PNN
======</t>
        </r>
      </text>
    </comment>
    <comment ref="DD2" authorId="0" shapeId="0" xr:uid="{B6CDBA44-7C43-4E97-9590-BAFF1C4CD2FC}">
      <text>
        <r>
          <rPr>
            <sz val="11"/>
            <color rgb="FF000000"/>
            <rFont val="Calibri"/>
            <scheme val="minor"/>
          </rPr>
          <t>Ficha PNN
======</t>
        </r>
      </text>
    </comment>
    <comment ref="DE2" authorId="0" shapeId="0" xr:uid="{C2896EDE-6D9A-4721-AEC2-4214FF0404AF}">
      <text>
        <r>
          <rPr>
            <sz val="11"/>
            <color rgb="FF000000"/>
            <rFont val="Calibri"/>
            <scheme val="minor"/>
          </rPr>
          <t>Ficha PNN
======</t>
        </r>
      </text>
    </comment>
    <comment ref="DG2" authorId="0" shapeId="0" xr:uid="{A944C590-7FC7-4F0D-A98B-3F0895DC3DCD}">
      <text>
        <r>
          <rPr>
            <sz val="11"/>
            <color rgb="FF000000"/>
            <rFont val="Calibri"/>
            <scheme val="minor"/>
          </rPr>
          <t>Ficha PNN
======</t>
        </r>
      </text>
    </comment>
    <comment ref="DO2" authorId="0" shapeId="0" xr:uid="{F54631E2-9BAB-423C-8E1A-53F0EE78DA2E}">
      <text>
        <r>
          <rPr>
            <sz val="11"/>
            <color rgb="FF000000"/>
            <rFont val="Calibri"/>
            <scheme val="minor"/>
          </rPr>
          <t>Ficha PNN
======</t>
        </r>
      </text>
    </comment>
    <comment ref="DQ2" authorId="0" shapeId="0" xr:uid="{B66727DA-5A99-4DBD-95DE-06A275F488A5}">
      <text>
        <r>
          <rPr>
            <sz val="11"/>
            <color rgb="FF000000"/>
            <rFont val="Calibri"/>
            <scheme val="minor"/>
          </rPr>
          <t>Ficha PNN
======</t>
        </r>
      </text>
    </comment>
    <comment ref="DS2" authorId="0" shapeId="0" xr:uid="{B32679F7-4792-47BC-BC67-DF2CDD35FE3E}">
      <text>
        <r>
          <rPr>
            <sz val="11"/>
            <color rgb="FF000000"/>
            <rFont val="Calibri"/>
            <scheme val="minor"/>
          </rPr>
          <t>Ficha PNN
======</t>
        </r>
      </text>
    </comment>
    <comment ref="DT2" authorId="0" shapeId="0" xr:uid="{21D52F68-756E-44D9-9DAB-04AFFA3853CC}">
      <text>
        <r>
          <rPr>
            <sz val="11"/>
            <color rgb="FF000000"/>
            <rFont val="Calibri"/>
            <scheme val="minor"/>
          </rPr>
          <t>Ficha PNN
======</t>
        </r>
      </text>
    </comment>
    <comment ref="DU2" authorId="0" shapeId="0" xr:uid="{27115225-7E49-4140-A807-8BFD311182CF}">
      <text>
        <r>
          <rPr>
            <sz val="11"/>
            <color rgb="FF000000"/>
            <rFont val="Calibri"/>
            <scheme val="minor"/>
          </rPr>
          <t>Ficha PNN
======</t>
        </r>
      </text>
    </comment>
    <comment ref="AP3" authorId="0" shapeId="0" xr:uid="{3C30D469-4D15-4BDA-8527-E66AAA740C08}">
      <text>
        <r>
          <rPr>
            <sz val="11"/>
            <color rgb="FF000000"/>
            <rFont val="Calibri"/>
            <scheme val="minor"/>
          </rPr>
          <t>Ficha PNN
======</t>
        </r>
      </text>
    </comment>
    <comment ref="CN3" authorId="0" shapeId="0" xr:uid="{04217758-6E1F-440B-824B-3A3A9C35D796}">
      <text>
        <r>
          <rPr>
            <sz val="11"/>
            <color rgb="FF000000"/>
            <rFont val="Calibri"/>
            <scheme val="minor"/>
          </rPr>
          <t>Ficha PNN
======</t>
        </r>
      </text>
    </comment>
  </commentList>
</comments>
</file>

<file path=xl/sharedStrings.xml><?xml version="1.0" encoding="utf-8"?>
<sst xmlns="http://schemas.openxmlformats.org/spreadsheetml/2006/main" count="5650" uniqueCount="1858">
  <si>
    <t>CARACTERIZACION</t>
  </si>
  <si>
    <t>PREDIO 1</t>
  </si>
  <si>
    <t>PREDIO 2</t>
  </si>
  <si>
    <t>PREDIO 3</t>
  </si>
  <si>
    <t>PREDIO 4</t>
  </si>
  <si>
    <t>PREDIO 5</t>
  </si>
  <si>
    <t>PREDIO 6</t>
  </si>
  <si>
    <t>PREDIO 7</t>
  </si>
  <si>
    <t>PREDIO 8</t>
  </si>
  <si>
    <t>PREDIO 9</t>
  </si>
  <si>
    <t>PREDIO 10</t>
  </si>
  <si>
    <t>PREDIO 11</t>
  </si>
  <si>
    <t>PREDIO 12</t>
  </si>
  <si>
    <t>PREDIO 13</t>
  </si>
  <si>
    <t>PREDIO 14</t>
  </si>
  <si>
    <t>PREDIO 15</t>
  </si>
  <si>
    <t>PREDIO 16</t>
  </si>
  <si>
    <t>PREDIO 17</t>
  </si>
  <si>
    <t>PREDIO 18</t>
  </si>
  <si>
    <t>PREDIO 19</t>
  </si>
  <si>
    <t>PREDIO 20</t>
  </si>
  <si>
    <t>PREDIO 21</t>
  </si>
  <si>
    <t>PREDIO 22</t>
  </si>
  <si>
    <t>PREDIO 23</t>
  </si>
  <si>
    <t>PREDIO 24</t>
  </si>
  <si>
    <t>PREDIO 25</t>
  </si>
  <si>
    <t>PREDIO 26</t>
  </si>
  <si>
    <t>PREDIO 27</t>
  </si>
  <si>
    <t>PREDIO 28</t>
  </si>
  <si>
    <t>PREDIO 29</t>
  </si>
  <si>
    <t>PREDIO 30</t>
  </si>
  <si>
    <t>PREDIO 31</t>
  </si>
  <si>
    <t>PREDIO 32</t>
  </si>
  <si>
    <t>PREDIO 33</t>
  </si>
  <si>
    <t>Nombres y Apellidos del ganadero</t>
  </si>
  <si>
    <t>JUAN DIEGO TACUE TACUE</t>
  </si>
  <si>
    <t>NANCY PATRICIA CIFUENTES DAZA</t>
  </si>
  <si>
    <t>FLOR ESNEDA GRANDE</t>
  </si>
  <si>
    <t>FABIOLA LEDEZMA MANZANO</t>
  </si>
  <si>
    <t>LAURA VANESSA CIFUENTES LEDEZMA</t>
  </si>
  <si>
    <t>MARTHA VIVIANA QUIÑONEZ GRANDE</t>
  </si>
  <si>
    <t>TERESA DE JESUS TACUE DE ANACONA</t>
  </si>
  <si>
    <t>DIOMAR QUIÑONEZ FERNANDEZ</t>
  </si>
  <si>
    <t>MARIA TERESA ESPINOZA ALEGRIA</t>
  </si>
  <si>
    <t>MILTON JAVIER SANCHEZ GRUESO</t>
  </si>
  <si>
    <t>JOSE OMAR SANCHEZ SANTIAGO</t>
  </si>
  <si>
    <t>MARIA TEREZA ANACONA CERON</t>
  </si>
  <si>
    <t>NIDIA SOSCUE COLLO</t>
  </si>
  <si>
    <t>LUIS ALFREDO CALPA CHIGUE</t>
  </si>
  <si>
    <t>CLAUDIA MARIA ESPINOZA ALEGRIA</t>
  </si>
  <si>
    <t>JESUS HERNEY ASTAIZA MEJIA</t>
  </si>
  <si>
    <t>INELDA COLLAZOS SALAZAR</t>
  </si>
  <si>
    <t>MARÍA VICTORIA MERA RUIZ</t>
  </si>
  <si>
    <t>GERMAN CHAPID TULCÁN</t>
  </si>
  <si>
    <t>NOLBERTO COAJI BENAVIDES</t>
  </si>
  <si>
    <t>REYNEL SOSCUE QUIÑONES</t>
  </si>
  <si>
    <t>ABEL CORNELIO ESPINOSA</t>
  </si>
  <si>
    <t>ISMAEL RUIZ COLLAZOS</t>
  </si>
  <si>
    <t>OSCAR GUEVARA</t>
  </si>
  <si>
    <t>JOSÉ ARÍSTIDES BENAVIDES</t>
  </si>
  <si>
    <t>ALBEIRO ALEGRÍA MOLINA</t>
  </si>
  <si>
    <t>FREDY ANACONA ANACONA</t>
  </si>
  <si>
    <t>ALMA ROSIO ANACONA</t>
  </si>
  <si>
    <t>DEYSY JHACIBE COLLAZOS SALAZAR</t>
  </si>
  <si>
    <t>FABIOLA EMILCE ASTAIZA QUINONEZ</t>
  </si>
  <si>
    <t>FRANCY DAMARIS ALEGRIA ORDOÑEZ</t>
  </si>
  <si>
    <t>JUAN CARLOS GUANCHA ESCOBAR</t>
  </si>
  <si>
    <t>ORLANDO CIFUENTES DAZA</t>
  </si>
  <si>
    <t>FRANCISCO PARMENIDES MAMBUSCAY TINTINAGO</t>
  </si>
  <si>
    <t>MARIA IRENE MEJIA MONTILLA</t>
  </si>
  <si>
    <t>AIDA NUBIOLA OBANDO ASTAHIZA</t>
  </si>
  <si>
    <t>JOSE OMAR GALLEGO ARBOLEDA</t>
  </si>
  <si>
    <t>OMAR JOSE CEBALLOS ORDOÑEZ</t>
  </si>
  <si>
    <t>LUIS ALBERTO CEBALLOS ALQUEDAN</t>
  </si>
  <si>
    <t>LILIANA MUÑOZ ASTAIZA</t>
  </si>
  <si>
    <t>EUDOSIA DEL CARMEN PADILLA OTERO</t>
  </si>
  <si>
    <t>EDIT BARBARA OLAVE MOLINA</t>
  </si>
  <si>
    <t>RUBER ARIEL CERQUERA URRUTIA</t>
  </si>
  <si>
    <t>ELIO CASTILLO MOSCA</t>
  </si>
  <si>
    <t>ROVINSON SANCHEZ CONEJO</t>
  </si>
  <si>
    <t>MOISES ANTONIO COAJI MAMBUSCAY</t>
  </si>
  <si>
    <t>JHON FREDY GONZALEZ BOLAÑOS</t>
  </si>
  <si>
    <t>EDGAR PIZO</t>
  </si>
  <si>
    <t>MARLENY SOSCUE GRANDE</t>
  </si>
  <si>
    <t>IVAN RENE MOSCA MONTOYA</t>
  </si>
  <si>
    <t>GUSTAVO ADOLFO MOSCA MONTOYA</t>
  </si>
  <si>
    <t>HECTOR FABIO MAMBUSCAY TINTINAGO</t>
  </si>
  <si>
    <t>CARLOS ALBERTO TARAPUES QUENAN</t>
  </si>
  <si>
    <t>DEYVID SANTIAGO MAMBUSCAY GARZON</t>
  </si>
  <si>
    <t>EIBER MAMBUSCAY TINTINAGO</t>
  </si>
  <si>
    <t>NOIMAN FEBRES RIVERA OBANDO</t>
  </si>
  <si>
    <t>MARY SOL MERA QUIÑONEZ</t>
  </si>
  <si>
    <t>NESTOR JULIAN MUÑOZ CALAMBAS</t>
  </si>
  <si>
    <t>AIDA LUCILA RIVERA OBANDO</t>
  </si>
  <si>
    <t>SAMUEL MAMBUSCAY TINTINAGO</t>
  </si>
  <si>
    <t>LUCILA QUIÑONEZ COLLAZOS</t>
  </si>
  <si>
    <t>ROBERTO ZAMBRANO MUÑOZ</t>
  </si>
  <si>
    <t>BERNABE CHANTRE ESCOBAR</t>
  </si>
  <si>
    <t>BERTHA IRENE MONTOYA MORALES</t>
  </si>
  <si>
    <t>ANGELA FERNANDA RUIZ ASTAIZA</t>
  </si>
  <si>
    <t>DORA MILENA COQUE PERDOMO</t>
  </si>
  <si>
    <t>LEONILA CASTILLO ALBÁN</t>
  </si>
  <si>
    <t>ANA CECILIA JIMENEZ YAQUENO</t>
  </si>
  <si>
    <t>MARÍA INÉS COLLAZOS SILVA</t>
  </si>
  <si>
    <t>MARTHA CECILIA SILVA PALECHOR</t>
  </si>
  <si>
    <t>CONSTANCIA ARGELIA QUILINDO CAMAYO</t>
  </si>
  <si>
    <t>OLMES CRUZ SANDOVAL</t>
  </si>
  <si>
    <t>HEYERMIRO MONTILLA HOYOS</t>
  </si>
  <si>
    <t xml:space="preserve">DEISY YOHANA GUERRERO </t>
  </si>
  <si>
    <t>HERNAN DARIO COLLAZOS GUERRERO</t>
  </si>
  <si>
    <t>GUIDO OMAR QUINAYAS</t>
  </si>
  <si>
    <t>YANETH ALEXANDRA GUERRERO MONTILLA</t>
  </si>
  <si>
    <t>MARCO ANTONIO SILVA</t>
  </si>
  <si>
    <t>JUAN ELIAS REALPE</t>
  </si>
  <si>
    <t>ENIO MARCEL BOLAÑOS GUERRERO</t>
  </si>
  <si>
    <t>JONATHAN  ANDRES TALAGA AUSECHA</t>
  </si>
  <si>
    <t>AURIS MONTILLA CARVAJAL</t>
  </si>
  <si>
    <t>RUBIO ALEXANDER GUERRERO ORDOÑEZ</t>
  </si>
  <si>
    <t>JAIRO ORLANDO VELASCO CASTILLO</t>
  </si>
  <si>
    <t>ROBERT CEDIEL BECERRA GUERRERO</t>
  </si>
  <si>
    <t>PEDRO ANTONIO GUERRERO MAGON</t>
  </si>
  <si>
    <t>GLADIS MUÑOZ MONCAYO</t>
  </si>
  <si>
    <t>PORFIRIO SANTIAGO</t>
  </si>
  <si>
    <t>YENY PAOLA SILVA JIMENEZ</t>
  </si>
  <si>
    <t xml:space="preserve">JESÚS HERNÁN ALBÁN </t>
  </si>
  <si>
    <t>ARGEMIRO ZUÑIGA</t>
  </si>
  <si>
    <t>JESUS ADOLFO ZUÑIGA COAJI</t>
  </si>
  <si>
    <t>FELIPE YACUMAL</t>
  </si>
  <si>
    <t>JUAN CARLOS YACUMAL CIFUENTES</t>
  </si>
  <si>
    <t>YENNY MAGALY PAZ CRUZ</t>
  </si>
  <si>
    <t>YENI VIVIANA COAJI TACUE</t>
  </si>
  <si>
    <t>EDWIN ALEXANDER SANCHEZ ZUÑIGA</t>
  </si>
  <si>
    <t>CARMEN EUGENIA ZUÑIGA COAJI</t>
  </si>
  <si>
    <t>RICARDINA ALEGRÍA MUÑOZ</t>
  </si>
  <si>
    <t>WILMER JULIAN COLLAZOS ALEGRÍA</t>
  </si>
  <si>
    <t>EDUARDO BOLAÑOS BRAVO</t>
  </si>
  <si>
    <t>ALEXANDER BENAVIDES BOLAÑOS</t>
  </si>
  <si>
    <t>ANA LUISA GUERRERO RUIZ</t>
  </si>
  <si>
    <t>CESAR DANILO FERNANDEZ GUERRERO</t>
  </si>
  <si>
    <t>WILLIAN ALEXIS ZUÑIGA SANCHEZ</t>
  </si>
  <si>
    <t>LIDA NEIRA DORADO PAJOY</t>
  </si>
  <si>
    <t>MARLENY SANCHEZ SANTIAGO</t>
  </si>
  <si>
    <t>JAIRO EVELIO PERAFAN TINTINAGO</t>
  </si>
  <si>
    <t>JORGE ARBEY VARGAS</t>
  </si>
  <si>
    <t>BEATRIZ SANTIAGO SANCHEZ</t>
  </si>
  <si>
    <t>JAIR COAJI SANTIAGO</t>
  </si>
  <si>
    <t>VICTOR ARVEY MURILLO SANCHEZ</t>
  </si>
  <si>
    <t>ANGELA LUCERO TORRES CRIOLLO</t>
  </si>
  <si>
    <t>MANUEL BOLIVAR ZAMBRANO</t>
  </si>
  <si>
    <t>DIEGO ARMANDO DIAZ CUCHUMBE</t>
  </si>
  <si>
    <t>JHON ALEXANDER HERRERA MENDEZ</t>
  </si>
  <si>
    <t>ANA SULEIMA GARCIA LAME</t>
  </si>
  <si>
    <t>ROMEIRO MAPALLO MELENGE</t>
  </si>
  <si>
    <t>NORMA YOLANDA MENDEZ SALAZAR</t>
  </si>
  <si>
    <t>JOSE LEONARDO URBANO AGREDO</t>
  </si>
  <si>
    <t>MARIA LUISA TINTINAGO MENDEZ</t>
  </si>
  <si>
    <t>LEONEL ARTURO RIVERA CABRERA</t>
  </si>
  <si>
    <t>UBER SALAZAR MUÑOZ</t>
  </si>
  <si>
    <t xml:space="preserve">FELIPE LEON MUÑOZ </t>
  </si>
  <si>
    <t>JORGE ARMANDO DÍAZ MANGUAY</t>
  </si>
  <si>
    <t xml:space="preserve">ERIBERTO RAMOS </t>
  </si>
  <si>
    <t>LIBARDO SÁNCHEZ ORTÍZ</t>
  </si>
  <si>
    <t>GEOVANNY CALAMBAZ YALANDA</t>
  </si>
  <si>
    <t>HERMES ALEXANDER MAMBUSCAY ZAMBRANO</t>
  </si>
  <si>
    <t>JESUS ARTURO ACOSTA MUÑOZ</t>
  </si>
  <si>
    <t>Número de cédula</t>
  </si>
  <si>
    <t>25693804</t>
  </si>
  <si>
    <t>25694101</t>
  </si>
  <si>
    <t>87217881</t>
  </si>
  <si>
    <t>4749497</t>
  </si>
  <si>
    <t>76317110</t>
  </si>
  <si>
    <t>36381597</t>
  </si>
  <si>
    <t>1061704137</t>
  </si>
  <si>
    <t>34323133</t>
  </si>
  <si>
    <t>1061686462</t>
  </si>
  <si>
    <t>48661807</t>
  </si>
  <si>
    <t>1064676922</t>
  </si>
  <si>
    <t>76310162</t>
  </si>
  <si>
    <t>Número de contacto</t>
  </si>
  <si>
    <t>312 2014491</t>
  </si>
  <si>
    <t>3225128972</t>
  </si>
  <si>
    <t>Correo electrónico</t>
  </si>
  <si>
    <t>YOVANYGENTE@GMAIL.COM</t>
  </si>
  <si>
    <t>GUERRERORUBENDARIO92@GMAIL.COM</t>
  </si>
  <si>
    <t>JESUSASTAIZAM@GMAIL.COM</t>
  </si>
  <si>
    <t>juanbautista74b@gmail.com</t>
  </si>
  <si>
    <t>betobenavides23@gmail.com</t>
  </si>
  <si>
    <t>deibyandersonbenavides@gmail.com</t>
  </si>
  <si>
    <t>albeiroalegria89@gmail.com</t>
  </si>
  <si>
    <t>fredyanacona41@gmail.com</t>
  </si>
  <si>
    <t>aprilcollazos061@gmil.com</t>
  </si>
  <si>
    <t>mariairenemejia77@gmail.com</t>
  </si>
  <si>
    <t>omargallego840@gmail.com</t>
  </si>
  <si>
    <t>ALBERTOCEBALLOS2768@GMAIL.COM</t>
  </si>
  <si>
    <t>JHONZ9585@GMAIL.COM</t>
  </si>
  <si>
    <t>PADILLAEUDOCIA030@GMAIL.COM</t>
  </si>
  <si>
    <t>ARIELCERQUERA@GMAIL.COM</t>
  </si>
  <si>
    <t xml:space="preserve">santiagomambuscay03@gmail.com </t>
  </si>
  <si>
    <t>meras1046@gmail.com</t>
  </si>
  <si>
    <t>njulian_2689@hotmail.com</t>
  </si>
  <si>
    <t>rubypiamba68@gmail.com</t>
  </si>
  <si>
    <t>olmes4012@hotmail.com</t>
  </si>
  <si>
    <t>danirealpe82010@gmail.com</t>
  </si>
  <si>
    <t>yenisilva86@outlook.com</t>
  </si>
  <si>
    <t>cqmaury@gmail.com</t>
  </si>
  <si>
    <t>Olmes4012@hotmail.com</t>
  </si>
  <si>
    <t>COLLAZOSHERNAN572@GMAIL.COM</t>
  </si>
  <si>
    <t>MARCOSILVA55@HOTMAIL.COM</t>
  </si>
  <si>
    <t>ENIOMARCEL1975@GMAIL.COM</t>
  </si>
  <si>
    <t>ANDRES72@GMAIL.COM</t>
  </si>
  <si>
    <t>jairovelasco1964@gmail.com</t>
  </si>
  <si>
    <t>gladysmunozm11510@gmail.com</t>
  </si>
  <si>
    <t>yenysilva86@gmail.com</t>
  </si>
  <si>
    <t>JADILFO37@GMAIL.COM</t>
  </si>
  <si>
    <t>AGRONORTEPROYECTOS@HOTMAIL.COM</t>
  </si>
  <si>
    <t>CARYACU72@HOTMAIL.COM</t>
  </si>
  <si>
    <t>benavidesalexander@yahoo.es</t>
  </si>
  <si>
    <t>dieeggodiaz@gmail.com</t>
  </si>
  <si>
    <t>jaherrera@unicauca.edu.co</t>
  </si>
  <si>
    <t>CARLOSMAPALLO891@GMAIL.COM</t>
  </si>
  <si>
    <t>RICARDOJALVIN770@GMAIL.COM</t>
  </si>
  <si>
    <t>joseh0367@gmail.com</t>
  </si>
  <si>
    <t>ubellavista45@gmail.com</t>
  </si>
  <si>
    <t>felmu76@hotmail.com</t>
  </si>
  <si>
    <t>1968@gmail.com</t>
  </si>
  <si>
    <t>Departamento</t>
  </si>
  <si>
    <t>CAUCA</t>
  </si>
  <si>
    <t xml:space="preserve">CAUCA </t>
  </si>
  <si>
    <t>Municipio</t>
  </si>
  <si>
    <t>SOTARA</t>
  </si>
  <si>
    <t>SOTARÁ</t>
  </si>
  <si>
    <t xml:space="preserve">SOTARÁ </t>
  </si>
  <si>
    <t>Corregimiento</t>
  </si>
  <si>
    <t>PAISPAMBA</t>
  </si>
  <si>
    <t>PAIAPAMBA</t>
  </si>
  <si>
    <t>PIEDRA DE LEON</t>
  </si>
  <si>
    <t xml:space="preserve">PIEDRA DE LEÓN </t>
  </si>
  <si>
    <t>PIEDRA DE LEÓN</t>
  </si>
  <si>
    <t xml:space="preserve">CHAPA </t>
  </si>
  <si>
    <t>CHAPA</t>
  </si>
  <si>
    <t>Vereda</t>
  </si>
  <si>
    <t>ULLUCOS</t>
  </si>
  <si>
    <t>CASAS NUEVAS</t>
  </si>
  <si>
    <t>LA JOSEFINA</t>
  </si>
  <si>
    <t>CAMPOBELLO</t>
  </si>
  <si>
    <t>CAMPO BELLO</t>
  </si>
  <si>
    <t>SAN ROQUE</t>
  </si>
  <si>
    <t xml:space="preserve">SAN ROQUE </t>
  </si>
  <si>
    <t xml:space="preserve">EL DIVISO </t>
  </si>
  <si>
    <t>DIVISO</t>
  </si>
  <si>
    <t># Predial</t>
  </si>
  <si>
    <t>000-2000-3019-5000</t>
  </si>
  <si>
    <t>120-0006929 # MATTRICULA</t>
  </si>
  <si>
    <t>120-120725 # MATRICULA</t>
  </si>
  <si>
    <t>000-2000-3000-7000</t>
  </si>
  <si>
    <t>120-91896</t>
  </si>
  <si>
    <t>000-3000-1012-2000</t>
  </si>
  <si>
    <t>000-2000-1001-2000</t>
  </si>
  <si>
    <t>120-71705 # MATRICULA</t>
  </si>
  <si>
    <t>000-3000-100-1300</t>
  </si>
  <si>
    <t>000-2000-1001-1000</t>
  </si>
  <si>
    <t>000-3000-1021-3000</t>
  </si>
  <si>
    <t>000-3000-1007-0000</t>
  </si>
  <si>
    <t>000-3000-1013-2000</t>
  </si>
  <si>
    <t>120-000-9608 # MATRICULA</t>
  </si>
  <si>
    <t>120-0090238</t>
  </si>
  <si>
    <t>00-02-0003-0071-000</t>
  </si>
  <si>
    <t>Nombre de la finca</t>
  </si>
  <si>
    <t>EL RECUERDO</t>
  </si>
  <si>
    <t>VILLA SOFIA</t>
  </si>
  <si>
    <t>EL DIVISO</t>
  </si>
  <si>
    <t>LA CRISTALINA</t>
  </si>
  <si>
    <t>CABUYERITA</t>
  </si>
  <si>
    <t>LAS MARGARITAS</t>
  </si>
  <si>
    <t>PARCELA 22</t>
  </si>
  <si>
    <t>EDEN</t>
  </si>
  <si>
    <t>LA VILLA DEL GANADO</t>
  </si>
  <si>
    <t>LA FLORESTA</t>
  </si>
  <si>
    <t>EL EDEN</t>
  </si>
  <si>
    <t>EL PARAISO</t>
  </si>
  <si>
    <t>LA PLANADA</t>
  </si>
  <si>
    <t>PARCELA 32</t>
  </si>
  <si>
    <t>PARCELA 5</t>
  </si>
  <si>
    <t>EL REFUGIO - PARCELA #29</t>
  </si>
  <si>
    <t>VICKY</t>
  </si>
  <si>
    <t>PARCELA # 08</t>
  </si>
  <si>
    <t>LOS MOTILONES</t>
  </si>
  <si>
    <t>PARCELA 2</t>
  </si>
  <si>
    <t>LA CAMILA</t>
  </si>
  <si>
    <t>EL EDÉN</t>
  </si>
  <si>
    <t>PARCELA #7</t>
  </si>
  <si>
    <t>EL RAMAL</t>
  </si>
  <si>
    <t>EL CLAVELLINO</t>
  </si>
  <si>
    <t>PARCELA #17</t>
  </si>
  <si>
    <t>PARCELA #16</t>
  </si>
  <si>
    <t>LOTE #4</t>
  </si>
  <si>
    <t>LOS ANGELES 1</t>
  </si>
  <si>
    <t>LA LUNA</t>
  </si>
  <si>
    <t>LOS ARRAYANES</t>
  </si>
  <si>
    <t>MAUJATÁN</t>
  </si>
  <si>
    <t>EL MAYO</t>
  </si>
  <si>
    <t>SAN GABRIEL #3</t>
  </si>
  <si>
    <t>SANGABRIEL</t>
  </si>
  <si>
    <t>LA JOSEFINA 6</t>
  </si>
  <si>
    <t>EL ESTRECHO</t>
  </si>
  <si>
    <t>CAMPO BELLO 10</t>
  </si>
  <si>
    <t>MAYO</t>
  </si>
  <si>
    <t>VIENTO LIBRE</t>
  </si>
  <si>
    <t>LA JOSEFINA PARCELA 3</t>
  </si>
  <si>
    <t>SANTA ELENA</t>
  </si>
  <si>
    <t>CANELAL</t>
  </si>
  <si>
    <t>CANELAL PARCELA 1</t>
  </si>
  <si>
    <t>FINCA LA JOSEFINA 15</t>
  </si>
  <si>
    <t>PARCELA 02</t>
  </si>
  <si>
    <t>PARCELA N° 06</t>
  </si>
  <si>
    <t xml:space="preserve">BELLA VISTA </t>
  </si>
  <si>
    <t>PARCELA 10</t>
  </si>
  <si>
    <t xml:space="preserve">EL MAYO </t>
  </si>
  <si>
    <t>EL RAMAL # 2</t>
  </si>
  <si>
    <t>EL ALTO PARCELA #02</t>
  </si>
  <si>
    <t>PORVENIR EL ALCAZAR</t>
  </si>
  <si>
    <t>LA PALMA</t>
  </si>
  <si>
    <t>EL CRISTAL</t>
  </si>
  <si>
    <t>LA MORENA</t>
  </si>
  <si>
    <t xml:space="preserve">SANTA CECILIA </t>
  </si>
  <si>
    <t>BELLA VISTA</t>
  </si>
  <si>
    <t>LAS PIEDRAS</t>
  </si>
  <si>
    <t>LOS CEDROS, LAS ESTRELLAS</t>
  </si>
  <si>
    <t xml:space="preserve">ALIZALES </t>
  </si>
  <si>
    <t xml:space="preserve">CRISANTEMO </t>
  </si>
  <si>
    <t xml:space="preserve">LOS GUARANGOS </t>
  </si>
  <si>
    <t xml:space="preserve">LOS NARANJOS </t>
  </si>
  <si>
    <t>EL PUERTO</t>
  </si>
  <si>
    <t>LA PAILA</t>
  </si>
  <si>
    <t>LA MARIA A</t>
  </si>
  <si>
    <t>PLAN GRANDE</t>
  </si>
  <si>
    <t>EL  NOGAL</t>
  </si>
  <si>
    <t>ALTA VISTA</t>
  </si>
  <si>
    <t>EL AGUACATE</t>
  </si>
  <si>
    <t>EL NARANJO</t>
  </si>
  <si>
    <t>EL PORVENIR</t>
  </si>
  <si>
    <t>EL COLUMPIO</t>
  </si>
  <si>
    <t>LA MARIA</t>
  </si>
  <si>
    <t>EL ARENAL</t>
  </si>
  <si>
    <t>BELLAVISTA</t>
  </si>
  <si>
    <t>EL ARRAYAN</t>
  </si>
  <si>
    <t>SIN NOMBRE</t>
  </si>
  <si>
    <t>LA BENDITA</t>
  </si>
  <si>
    <t>LA MARGARITA</t>
  </si>
  <si>
    <t>SAN ANTONIO</t>
  </si>
  <si>
    <t>LOTE N°2</t>
  </si>
  <si>
    <t>EL PRODIGIO, PARCELA #17</t>
  </si>
  <si>
    <t>EL PRODIGIO</t>
  </si>
  <si>
    <t>SAN JOSÉ</t>
  </si>
  <si>
    <t>PARCELA # 22 - ALTOS DE LA PERLA</t>
  </si>
  <si>
    <t>LOTE #2</t>
  </si>
  <si>
    <t>LOTE #1</t>
  </si>
  <si>
    <t>LA SABANA</t>
  </si>
  <si>
    <t>EL CARMEN</t>
  </si>
  <si>
    <t>LA TINAJA</t>
  </si>
  <si>
    <t>LA JULIANA</t>
  </si>
  <si>
    <t xml:space="preserve">EL CARMEN </t>
  </si>
  <si>
    <t>ARGELIA</t>
  </si>
  <si>
    <t>CAJAMARQUITA</t>
  </si>
  <si>
    <t>PARCELA #14</t>
  </si>
  <si>
    <t>EL UVO</t>
  </si>
  <si>
    <t>LAS BRISAS</t>
  </si>
  <si>
    <t>CAJAMARCA</t>
  </si>
  <si>
    <t>LA JOSEFINA PARCELA 2</t>
  </si>
  <si>
    <t>BERDUV</t>
  </si>
  <si>
    <t>SANTA ELENA 17</t>
  </si>
  <si>
    <t xml:space="preserve">LOMITAS </t>
  </si>
  <si>
    <t>LAS CRUCES</t>
  </si>
  <si>
    <t>EL LAUREL</t>
  </si>
  <si>
    <t xml:space="preserve">LA ESPERANZA </t>
  </si>
  <si>
    <t>LAS PAMPAS</t>
  </si>
  <si>
    <t>LATITUD</t>
  </si>
  <si>
    <t>LONGITUD</t>
  </si>
  <si>
    <t>ASNM (m)</t>
  </si>
  <si>
    <t>Clima (Páramo, Frio, Templado, Cálido)</t>
  </si>
  <si>
    <t>FRIO</t>
  </si>
  <si>
    <t>PARAMO</t>
  </si>
  <si>
    <t xml:space="preserve">FRIO </t>
  </si>
  <si>
    <t>PÁRAMO</t>
  </si>
  <si>
    <t>FRÍO</t>
  </si>
  <si>
    <t xml:space="preserve">FRÍO </t>
  </si>
  <si>
    <t xml:space="preserve">PÁRAMO </t>
  </si>
  <si>
    <t>Tecnico que realizo la visita</t>
  </si>
  <si>
    <t>Elisabeth Mazabuel</t>
  </si>
  <si>
    <t>Luis Fernando Jaramillo</t>
  </si>
  <si>
    <t>Jesus Bambague</t>
  </si>
  <si>
    <t>edwin Legarda</t>
  </si>
  <si>
    <t>Esteban Esparza</t>
  </si>
  <si>
    <t>Edwin Legarda</t>
  </si>
  <si>
    <t>INDICADORES</t>
  </si>
  <si>
    <t>1. Protección de fuentes de agua</t>
  </si>
  <si>
    <t>2. Disponibilidad y calidad de agua</t>
  </si>
  <si>
    <t>3. Manejo de agua</t>
  </si>
  <si>
    <t>4. Disposición y tratamiento de aguas residuales</t>
  </si>
  <si>
    <t>5. Manejo del suelo</t>
  </si>
  <si>
    <t xml:space="preserve"> sa</t>
  </si>
  <si>
    <t>6. Fertilidad del suelo</t>
  </si>
  <si>
    <t>7. Manejo del bosque</t>
  </si>
  <si>
    <t>8. Árboles en potrero</t>
  </si>
  <si>
    <t>9. Cercas vivas</t>
  </si>
  <si>
    <t>10. Uso de fertilizantes, herbicidas y pesticidas</t>
  </si>
  <si>
    <t>11. Fauna nativa y silvestre</t>
  </si>
  <si>
    <t>12. Reciclaje-reutilización de residuos líquidos y sólidos</t>
  </si>
  <si>
    <t>13. Acceso a crédito</t>
  </si>
  <si>
    <t>14. Registro contables y de costos</t>
  </si>
  <si>
    <t>15. Ingresos</t>
  </si>
  <si>
    <t>16. Generación de nuevos empleos</t>
  </si>
  <si>
    <t>17. Difusión tecnológica</t>
  </si>
  <si>
    <t>18. Seguridad alimentaria</t>
  </si>
  <si>
    <t>19. Sistemas productivos diversificados</t>
  </si>
  <si>
    <t>20. Aprovechamiento de subproductos de cosecha</t>
  </si>
  <si>
    <t>N7A</t>
  </si>
  <si>
    <t>21. Numero de potreros (franjas o divisiones)</t>
  </si>
  <si>
    <t>22. Litros leche Hectárea/año</t>
  </si>
  <si>
    <t>23. Peso al destete</t>
  </si>
  <si>
    <t>24. Edad de los machos al sacrificio</t>
  </si>
  <si>
    <t>25. Carga animal/hectárea (Unidad de gran ganado - UGG)</t>
  </si>
  <si>
    <t>26. Edad al primer parto</t>
  </si>
  <si>
    <t>27. Tasa de mortalidad</t>
  </si>
  <si>
    <t>28. Intervalo entre partos</t>
  </si>
  <si>
    <t>29. Registros técnicos y reproductivos</t>
  </si>
  <si>
    <t>CARACTERIZACIÓN</t>
  </si>
  <si>
    <t>Tenencia de la tierra:</t>
  </si>
  <si>
    <t>ESCRITURA</t>
  </si>
  <si>
    <t>TITULO INCODER</t>
  </si>
  <si>
    <t>SANA POSESION</t>
  </si>
  <si>
    <t>PROPIA</t>
  </si>
  <si>
    <t xml:space="preserve">PROPIA </t>
  </si>
  <si>
    <t>ADJUDICACIÓN</t>
  </si>
  <si>
    <t>ARRENDATARIO</t>
  </si>
  <si>
    <t>PROPIETARIO</t>
  </si>
  <si>
    <t>RESOLUCIÓN</t>
  </si>
  <si>
    <t>ESCRITURA PUBLICA</t>
  </si>
  <si>
    <t>CONTRATO DE COMPRAVENTA</t>
  </si>
  <si>
    <t>PROPIA - ESCRITURA</t>
  </si>
  <si>
    <t>PROPIA - CONTRATO CV</t>
  </si>
  <si>
    <t xml:space="preserve">PROPIA - ESCRITURA </t>
  </si>
  <si>
    <t>PREDIO PROPIEDAD MADRE</t>
  </si>
  <si>
    <t>PROPIO</t>
  </si>
  <si>
    <t>ADJUDICACION</t>
  </si>
  <si>
    <t>SANA POSESIÓN</t>
  </si>
  <si>
    <t>CERTIFICADO DE TRADICIÓN</t>
  </si>
  <si>
    <t xml:space="preserve">CERTIFICADO DE TRADICIÓN </t>
  </si>
  <si>
    <t>PROPIETARIA</t>
  </si>
  <si>
    <t xml:space="preserve">Documento de compraventa </t>
  </si>
  <si>
    <t xml:space="preserve">CONTRATO DE COMPRAVENTA </t>
  </si>
  <si>
    <t>ESCRITUTA PUBLICA</t>
  </si>
  <si>
    <t>ESCRITUTA</t>
  </si>
  <si>
    <t>Propia</t>
  </si>
  <si>
    <t>TITULO DE PROPIEDAD</t>
  </si>
  <si>
    <t>TITULO DE INCODER</t>
  </si>
  <si>
    <t>Área total de la finca (Ha)</t>
  </si>
  <si>
    <t>Área total ganadería (Ha)</t>
  </si>
  <si>
    <t>4.7</t>
  </si>
  <si>
    <t>Área en Ssp (Ha)</t>
  </si>
  <si>
    <t>N/A</t>
  </si>
  <si>
    <t>Áreas en praderas mejoradas (Ha)</t>
  </si>
  <si>
    <t>Áreas praderas tradicionales (Ha)</t>
  </si>
  <si>
    <t>kikuyo</t>
  </si>
  <si>
    <t>Forrajes mejorados</t>
  </si>
  <si>
    <t>carreton rosado,raidgraz</t>
  </si>
  <si>
    <t>TETRABLEND 260</t>
  </si>
  <si>
    <t>TREBOL RAYGRAS</t>
  </si>
  <si>
    <t>RYEGRASS</t>
  </si>
  <si>
    <t>NO</t>
  </si>
  <si>
    <t>Raigrass</t>
  </si>
  <si>
    <t>RAYGRAS</t>
  </si>
  <si>
    <t>tetrablec 260</t>
  </si>
  <si>
    <t>Elefante</t>
  </si>
  <si>
    <t>kinggrass</t>
  </si>
  <si>
    <t>kingrass morado</t>
  </si>
  <si>
    <t>RAYGRAS TREBOL</t>
  </si>
  <si>
    <t>RAIGRASS</t>
  </si>
  <si>
    <t>TETRABLEND (TRÉBOL ROJO, RYE GRASS, AZUL ORCHORO)</t>
  </si>
  <si>
    <t>TETRABLEND</t>
  </si>
  <si>
    <t>RAIGRAZ</t>
  </si>
  <si>
    <t>tetra blend</t>
  </si>
  <si>
    <t>azul y pasto hibrido</t>
  </si>
  <si>
    <t>AZUL ORCHORO</t>
  </si>
  <si>
    <t>Forrajes tradicionales</t>
  </si>
  <si>
    <t>kikuyo,trebol</t>
  </si>
  <si>
    <t>KIKUYO</t>
  </si>
  <si>
    <t>KUKUYO</t>
  </si>
  <si>
    <t>POA - KIKUYO</t>
  </si>
  <si>
    <t>KIKUYO - OREJUELA</t>
  </si>
  <si>
    <t>KIKUYO - POA</t>
  </si>
  <si>
    <t>KIKUYO, POA</t>
  </si>
  <si>
    <t>KIKUYO, POA TRÉBOL</t>
  </si>
  <si>
    <t>KIKUYO POA</t>
  </si>
  <si>
    <t>kikuyo,poa</t>
  </si>
  <si>
    <t>kikuyo,azul</t>
  </si>
  <si>
    <t>kikuyo,orguela</t>
  </si>
  <si>
    <t>KIKIYO</t>
  </si>
  <si>
    <t>KIKUYO, POA, TREBOL</t>
  </si>
  <si>
    <t xml:space="preserve">KIKUYO </t>
  </si>
  <si>
    <t xml:space="preserve">KIKUYO y OREJUELA </t>
  </si>
  <si>
    <t>KIKUYO y OREJUELA</t>
  </si>
  <si>
    <t>KIKUYO,GRAMA</t>
  </si>
  <si>
    <t>GRAMA</t>
  </si>
  <si>
    <t>Kikuyo</t>
  </si>
  <si>
    <t>kikuyo,imperial</t>
  </si>
  <si>
    <t>kikuyo,trebol petacho</t>
  </si>
  <si>
    <t>kiuyo</t>
  </si>
  <si>
    <t>kikuyo,pajonal</t>
  </si>
  <si>
    <t>kikuyo,trebol,poa</t>
  </si>
  <si>
    <t>Área en bosque</t>
  </si>
  <si>
    <t>0.3</t>
  </si>
  <si>
    <t>61.3</t>
  </si>
  <si>
    <t>0.5</t>
  </si>
  <si>
    <t>Áreas en otros cultivos (Ha)</t>
  </si>
  <si>
    <t>¿Cuáles cultivos?</t>
  </si>
  <si>
    <t>papa,fresa,cebolla</t>
  </si>
  <si>
    <t>PAPA</t>
  </si>
  <si>
    <t>HABA</t>
  </si>
  <si>
    <t>HUERTO CASERo</t>
  </si>
  <si>
    <t>FRESA</t>
  </si>
  <si>
    <t>PAPA,FRESA,ARVEJA</t>
  </si>
  <si>
    <t>PAPA, FRESA</t>
  </si>
  <si>
    <t>FRESA,PAPA</t>
  </si>
  <si>
    <t>ULLUCOS,PAPA</t>
  </si>
  <si>
    <t>papa</t>
  </si>
  <si>
    <t>fresa</t>
  </si>
  <si>
    <t>fresa,ulluco</t>
  </si>
  <si>
    <t>Fresa</t>
  </si>
  <si>
    <t>PAPA - FRESA</t>
  </si>
  <si>
    <t>FRESA Y PAPA</t>
  </si>
  <si>
    <t>CEBOLLA ,COL, PAPA</t>
  </si>
  <si>
    <t>MAIZ,FRIJOL,ARVEJA</t>
  </si>
  <si>
    <t>ARVEJA,HABAS,CIANTRO,TOMATE DE ARBOL</t>
  </si>
  <si>
    <t>Cultivos de pancoger</t>
  </si>
  <si>
    <t>MAIZARRACACHA,HABAS,CILANTRO</t>
  </si>
  <si>
    <t>FRESA,MAIZ</t>
  </si>
  <si>
    <t>FRESA - PAPA</t>
  </si>
  <si>
    <t>PAPA Y FRESA</t>
  </si>
  <si>
    <t>Aforo de Pasto m2</t>
  </si>
  <si>
    <t>300 gr</t>
  </si>
  <si>
    <t>400 gr</t>
  </si>
  <si>
    <t>1400 gr</t>
  </si>
  <si>
    <t>1,5 Kg</t>
  </si>
  <si>
    <t xml:space="preserve">200 g </t>
  </si>
  <si>
    <t>680 g</t>
  </si>
  <si>
    <t>190 g</t>
  </si>
  <si>
    <t>150 g</t>
  </si>
  <si>
    <t>1,5 KG</t>
  </si>
  <si>
    <t>370g</t>
  </si>
  <si>
    <t>300g</t>
  </si>
  <si>
    <t>200g</t>
  </si>
  <si>
    <t>250g</t>
  </si>
  <si>
    <t>890g</t>
  </si>
  <si>
    <t>500g</t>
  </si>
  <si>
    <t>600 g</t>
  </si>
  <si>
    <t>660 gr</t>
  </si>
  <si>
    <t>1,400 gr</t>
  </si>
  <si>
    <t>200 gr</t>
  </si>
  <si>
    <t>510 gr</t>
  </si>
  <si>
    <t>450 gr</t>
  </si>
  <si>
    <t>220 g</t>
  </si>
  <si>
    <t>250 g</t>
  </si>
  <si>
    <t>200 g</t>
  </si>
  <si>
    <t>973 g</t>
  </si>
  <si>
    <t>1,2 Kg</t>
  </si>
  <si>
    <t>400 g</t>
  </si>
  <si>
    <t>250gr</t>
  </si>
  <si>
    <t>280 g</t>
  </si>
  <si>
    <t>200gr</t>
  </si>
  <si>
    <t>100gr</t>
  </si>
  <si>
    <t>2,400 gr</t>
  </si>
  <si>
    <t>280g</t>
  </si>
  <si>
    <t>600g</t>
  </si>
  <si>
    <t>180 g</t>
  </si>
  <si>
    <t>350gr</t>
  </si>
  <si>
    <t>460 gr</t>
  </si>
  <si>
    <t>365 gr</t>
  </si>
  <si>
    <t>1100 g</t>
  </si>
  <si>
    <t>987 g</t>
  </si>
  <si>
    <t>710 g</t>
  </si>
  <si>
    <t>525 g</t>
  </si>
  <si>
    <t>Área en Otras Especies</t>
  </si>
  <si>
    <t>Cual</t>
  </si>
  <si>
    <t>ARRACACHA</t>
  </si>
  <si>
    <t>Cuantos</t>
  </si>
  <si>
    <t>Energía eléctrica</t>
  </si>
  <si>
    <t>SI</t>
  </si>
  <si>
    <t xml:space="preserve">NO </t>
  </si>
  <si>
    <t>Construcción</t>
  </si>
  <si>
    <t>VIVIENDA</t>
  </si>
  <si>
    <t>MEJORA</t>
  </si>
  <si>
    <t>CASA</t>
  </si>
  <si>
    <t>Casa</t>
  </si>
  <si>
    <t>CASAS</t>
  </si>
  <si>
    <t>VIVIENDA,ESTABLO</t>
  </si>
  <si>
    <t>Cerca eléctrica</t>
  </si>
  <si>
    <t>Conexión de agua</t>
  </si>
  <si>
    <t>Tiene análisis de suelos</t>
  </si>
  <si>
    <t>Fertiliza</t>
  </si>
  <si>
    <t>Con cual producto</t>
  </si>
  <si>
    <t>MEZCLA DE ABONOS</t>
  </si>
  <si>
    <t>UREA</t>
  </si>
  <si>
    <t>DAP, CALFOS</t>
  </si>
  <si>
    <t>CALCIO Y BORO - FRESA</t>
  </si>
  <si>
    <t>HUMUS</t>
  </si>
  <si>
    <t>ORGANICOS</t>
  </si>
  <si>
    <t>QUIMICO</t>
  </si>
  <si>
    <t>ABONO ORGANICO E NORGANICO</t>
  </si>
  <si>
    <t>FETICROP</t>
  </si>
  <si>
    <t>Abono Orgánico</t>
  </si>
  <si>
    <t>10-30-10 CULTIVO FRESA Y PAPA</t>
  </si>
  <si>
    <t>QUIMICO; ORGANICO</t>
  </si>
  <si>
    <t>10-20-20 (hace 1 año)</t>
  </si>
  <si>
    <t>DAP, POTREROS</t>
  </si>
  <si>
    <t>ELEMENTOS MENORES, K, P</t>
  </si>
  <si>
    <t>NITROGENO</t>
  </si>
  <si>
    <t>VITAFOL</t>
  </si>
  <si>
    <t>REBROTE</t>
  </si>
  <si>
    <t>CULTIVO PAPA</t>
  </si>
  <si>
    <t>A qué Asociación pertenece</t>
  </si>
  <si>
    <t xml:space="preserve">ASOCIACION AGROAMBIENTAL DEL OSO ANDINO DE PEÑAS BLANCAS </t>
  </si>
  <si>
    <t xml:space="preserve">OSO ANDINO </t>
  </si>
  <si>
    <t>OSO ANDINO</t>
  </si>
  <si>
    <t>ASOCIACION OSO ANDINO</t>
  </si>
  <si>
    <t xml:space="preserve">ASOCIACIÓN OSO ANDINO </t>
  </si>
  <si>
    <t>ASOCIACIÓN OSO ANDINO</t>
  </si>
  <si>
    <t>ASOCIACION AGROAMBIENTAL DEL OSO ANDINO DE PEÑAS BLANCAS</t>
  </si>
  <si>
    <t>Esta Activo</t>
  </si>
  <si>
    <t>PLAN PREDIAL</t>
  </si>
  <si>
    <t>INDICADOR 1</t>
  </si>
  <si>
    <t>8. ÁRBOLES POR HECTÁREA</t>
  </si>
  <si>
    <t>9. CERCAS VIVAS</t>
  </si>
  <si>
    <t>1. PROTECCIÓN DEL AGUA</t>
  </si>
  <si>
    <t>14. REGISTROS CONTABLES Y DE COSTOS</t>
  </si>
  <si>
    <t>7. MANEJO DEL BOSQUE</t>
  </si>
  <si>
    <t>8. ÁRBOLES EN LOS POTREROS</t>
  </si>
  <si>
    <t xml:space="preserve">2. Disponibilidad y calidad de agua		</t>
  </si>
  <si>
    <t>14, REGISTROS CONTABLES Y DE COSTOS</t>
  </si>
  <si>
    <t>1. PROTECCIÓN DE LAS FUENTES DE AGUA</t>
  </si>
  <si>
    <t>7. ÁRBOLES EN LOS POTREROS</t>
  </si>
  <si>
    <t>PROBLEMA 1</t>
  </si>
  <si>
    <t>NO TIENE ARBOLES EN POTRERO</t>
  </si>
  <si>
    <t>NO TIENE HUERTAS CASERAS</t>
  </si>
  <si>
    <t>NO HACEN USO DE FERTILIZANTES</t>
  </si>
  <si>
    <t>BAJO NUMERO DE ARBOLES EN CERCAS VIVAS</t>
  </si>
  <si>
    <t>BAJO NUMERO DE ARBOLES EN POTRERO</t>
  </si>
  <si>
    <t>NO CIDA NI PROTEGE NACEDEROS</t>
  </si>
  <si>
    <t>"No se realiza fertilización o se realiza sin análisis de suelos. 
Hay encharcamientos o resequedad y baja actividad biológica. "	"</t>
  </si>
  <si>
    <t xml:space="preserve">
No existen actividades que garanticen la protección de las fuentes de agua - La protección es &lt; al 20%	</t>
  </si>
  <si>
    <t>No existen actividades que garanticen la protección de las fuentes de agua - La protección es &lt; al 20%        "</t>
  </si>
  <si>
    <t xml:space="preserve">No existen actividades que garanticen la protección de las fuentes de agua - La protección es &lt; al 20% 
</t>
  </si>
  <si>
    <t>NO AISLA NI PROTEGE NACEDEROS</t>
  </si>
  <si>
    <t xml:space="preserve">No existen actividades que garanticen la protección de las fuentes de agua - La protección es &lt; al 20%	"
</t>
  </si>
  <si>
    <t>NO HAY PRESENCIA DE ÁRBOLES EN LOS POTREROS</t>
  </si>
  <si>
    <t>NO HAY CERCAS VIVAS EN EL PREDIO</t>
  </si>
  <si>
    <t>NO HAY PROTECCIÓN DE LAS FUENTES HÍDRICAS DE LA FINCA</t>
  </si>
  <si>
    <t>LOS SEMOVIENTES TOMAN EL AGUA DIRECTAMENTE DE LAS FUENTES HÍDRICAS CONTAMINÁNDOLA CON HECES Y ORINA</t>
  </si>
  <si>
    <t>NO HAY REGISTROS CONTABLES EN LA UNIDAD PRODUCTIVA</t>
  </si>
  <si>
    <t>NO SE ENCUENTRA AISLADA LA PARTE BOSCOSA POR LA RIVERA DE LA QUEBRADA</t>
  </si>
  <si>
    <t>NO HAY ÁRBOLES DENTRO DE LOS POTREROS PARA SOMBRÍO DE LOS SEMOVIENTES</t>
  </si>
  <si>
    <t>No se registra información contable</t>
  </si>
  <si>
    <t>BAJA CANTIDAD DE ARBOLES EN POTRERO</t>
  </si>
  <si>
    <t>FALTA AISLAMIENTO DE ZONAS DE HUMEDAL Y QUEBRADA</t>
  </si>
  <si>
    <t xml:space="preserve">
La finca no produce alimentos para el autoconsumo familiar. 	
</t>
  </si>
  <si>
    <t>POCOS ARBOLES EN POTRERO</t>
  </si>
  <si>
    <t>INADECUADO USO DE ENVASES</t>
  </si>
  <si>
    <t>NO FERTILIZA</t>
  </si>
  <si>
    <t>NO LLEVAN REGISTROS</t>
  </si>
  <si>
    <t>NO TIENE REGISTRO DE INGRESO</t>
  </si>
  <si>
    <t>Las fuentes de agua no se encuentran protegidas</t>
  </si>
  <si>
    <t>No existen actividades que garanticen la protección de las fuentes de agua - La protección es &lt; al 20%</t>
  </si>
  <si>
    <t xml:space="preserve">No se realiza fertilización o se realiza sin análisis de suelos. 
Hay encharcamientos o resequedad y baja actividad biológica. </t>
  </si>
  <si>
    <t xml:space="preserve">"No se realiza fertilización o se realiza sin análisis de suelos. 
Hay encharcamientos o resequedad y baja actividad biológica. </t>
  </si>
  <si>
    <t>Baja protección de las fuentes de agua</t>
  </si>
  <si>
    <t>Afloramientos de agua y quebrada sin aislamiento</t>
  </si>
  <si>
    <t>AREAS DE NACIMIENTO Y HUMEDAL SIN AISLAMIENTO</t>
  </si>
  <si>
    <t>NO TIENE HUERTA CASERA</t>
  </si>
  <si>
    <t>No se realiza reciclaje y/o reutilización de residuos sólidos</t>
  </si>
  <si>
    <t xml:space="preserve">No se realiza fertilización de praderas </t>
  </si>
  <si>
    <t xml:space="preserve">La finca NO cuenta con agua durante cierta época del año </t>
  </si>
  <si>
    <t xml:space="preserve">No realiza fertilización de las praderas </t>
  </si>
  <si>
    <t xml:space="preserve">La finca no cuenta con agua durante cierta época del año </t>
  </si>
  <si>
    <t>Existe protección parcial de las fuentes de agua
Acceso o abrevadero del río Quilcacé</t>
  </si>
  <si>
    <t>MANEJO INADECUADO DE EMPAQUES DE HERBICIDAS, PLASTICOS</t>
  </si>
  <si>
    <t>LAS AGUAS NO SE CANALIZAN Y LOS ANIMALES ABREVAN EN ASEQUIAS</t>
  </si>
  <si>
    <t>NO SE TIENE REGISTRO DE INGRESOS</t>
  </si>
  <si>
    <t>NO LLEVA REGISTRO</t>
  </si>
  <si>
    <t>FALTA FERTILIZACION</t>
  </si>
  <si>
    <t>POCAS DIVISIONES DE POTRERO</t>
  </si>
  <si>
    <t>INFERTILIDAD DE SUELO,SOBREPASTOREO</t>
  </si>
  <si>
    <t>NO TIENE PROTECCION DE FUENTES DE AGUA</t>
  </si>
  <si>
    <t>NO TIENE PROTECCION DE AGUA</t>
  </si>
  <si>
    <t>No existen actividades que garanticen la protección de las fuentes de agua - La protección es &lt; al 20%	"</t>
  </si>
  <si>
    <t>NO TIENE CERCAS VIVAS</t>
  </si>
  <si>
    <t>POCA DENSIDAD DE ÁRBOLES EN LOS POTREROS</t>
  </si>
  <si>
    <t>NO HAY REGISTROS DE LOS INGRESOS Y LOS EGRESOS EN LA FINCA</t>
  </si>
  <si>
    <t>LOS BOVINOS TIENEN ACCESO A LAS QUEBRADAS Y NACIMIENTOS DE AGUA CONTAMINÁNDOLAS CON LAS HECES Y ORINAS</t>
  </si>
  <si>
    <t>POCA DENSIDAD DE ÁRBOLES EN LOS POTREROS PARA SOMBRÍO</t>
  </si>
  <si>
    <t xml:space="preserve">POCA DENSIDAD DE ÁRBOLES EN LOS POTREROS </t>
  </si>
  <si>
    <t>NO SE LLEVA REGISTROS</t>
  </si>
  <si>
    <t>AREA QUEBRADA SIN PROTECCION Y BOVINOS ENTRAN AL CAUSE</t>
  </si>
  <si>
    <t xml:space="preserve">BAJA CAPA </t>
  </si>
  <si>
    <t xml:space="preserve">No hay protección de las fuentes de agua </t>
  </si>
  <si>
    <t>La finca NO cuenta con agua durante cierta época del año</t>
  </si>
  <si>
    <t>ACTIVIDADES CORRECTIVAS 1</t>
  </si>
  <si>
    <t>SIEMBRA DE ARBOLES SOMBRIOS</t>
  </si>
  <si>
    <t>IMPLEMENTAR HUERTAS CASERAS</t>
  </si>
  <si>
    <t>SEGUN ANALISIS DE SUELO IMPLEMENTAR PROGRAMA DE FERTILIZACION</t>
  </si>
  <si>
    <t>SEMBRAR ARBOLES Y PROTEJER</t>
  </si>
  <si>
    <t>SEMBRAR ARBOLES</t>
  </si>
  <si>
    <t>AISLAR Y PROTEGER LOS NACEDEROS</t>
  </si>
  <si>
    <t xml:space="preserve">* Tener en cuenta análisis de suelos para construir planes de fertilización
* Capacitación en abonos orgánicos
*  Hacer abonos orgánicos y aplicarlos </t>
  </si>
  <si>
    <t xml:space="preserve">"*Aislar las fuentes de agua con alambre de púa para impedir el ingreso del ganado.
* Medir la longitud de aislamiento </t>
  </si>
  <si>
    <t xml:space="preserve">
*Aislar las fuentes de agua con alambre de púa para impedir el ingreso del ganado.
* Medir la longitud de aislamiento 
</t>
  </si>
  <si>
    <t xml:space="preserve">*Aislar las fuentes de agua con alambre de púa para impedir el ingreso del ganado. 
* Medir la longitud de aislamiento  
 </t>
  </si>
  <si>
    <t xml:space="preserve">*Aislar las fuentes de agua con alambre de púa para impedir el ingreso del ganado.
* Medir la longitud de aislamiento 
</t>
  </si>
  <si>
    <t>- IDENTIFICAR ZONAS ESTRATÉGICAS PARA LA SIEMBRA DE ÁRBOLES
- SEMBRAR ÁRBOLES</t>
  </si>
  <si>
    <t>- IDENTIFICAR DÓNDE SE VA A SEMBRAR ÁRBOLES PARA  CERCAS VIVAS
- SEMBRAR PLÁNTULAS POR EL PERÍMETRO DE LA FINCA</t>
  </si>
  <si>
    <t xml:space="preserve">- IDENTIFICAR LAS FUENTES HÍDRICAS DEL PREDIO Y AISLAR </t>
  </si>
  <si>
    <t>- IDENTIFICAR ESTAS FUENTES
- AISLAR CON CERCAS
- CONDUCIR EL AGUA DESDE LA FUENTE POR TUBOS O MANGUERA HASTA LOS BEBEDEROS</t>
  </si>
  <si>
    <t>- LLEVAR REGISTRADO TODOS LOS INGRESOS Y EGRESOS DE LA FINCA</t>
  </si>
  <si>
    <t>- DETECTAR ESTAS ZONAS BOSCOSAS
- AISLAR PARA QUE NO ENTREN LOS SEMOVIENTES</t>
  </si>
  <si>
    <t>- IDENTIFICAR, PLANEAR LAS ÁREAS Y DELIMITAR
- SEMBRAR ÁRBOLES</t>
  </si>
  <si>
    <t>Iniciar con el registro de información de costos</t>
  </si>
  <si>
    <t>Siembra de arboles de aliso en potrero</t>
  </si>
  <si>
    <t>Realizar aislamiento de las zonas de humedal y quebrada con la siembra de arboles</t>
  </si>
  <si>
    <t xml:space="preserve">* Destinar un área y establecer huerto de cultivos de pancoger 
* Aislamiento de huerto 
* Realizar siembras escalonadas para mantener productos alimenticios como hortalizas o tubérculos durante todo el año 
</t>
  </si>
  <si>
    <t>DAR UN MANEJO ADECUADO</t>
  </si>
  <si>
    <t>FERTILIZAR</t>
  </si>
  <si>
    <t>IMPLEMENTAR REGISTROS</t>
  </si>
  <si>
    <t>REALIZAR MANUAL LOS INGRESOS</t>
  </si>
  <si>
    <t xml:space="preserve">Usar obras de protección como cercas para su aislamiento.
Medir longitudes para su aislamiento </t>
  </si>
  <si>
    <t>*Aislar las fuentes de agua con alambre de púa para impedir el ingreso del ganado.
* Medir la longitud de aislamiento</t>
  </si>
  <si>
    <t xml:space="preserve">* Tener en cuenta análisis de suelos para construir planes de fertilización
* Capacitación en abonos orgánicos
* Hacer abonos orgánicos y aplicarlos </t>
  </si>
  <si>
    <t xml:space="preserve">*Aislar las fuentes de agua con alambre de púa para impedir el ingreso del ganado.
* Medir la longitud de aislamiento </t>
  </si>
  <si>
    <t xml:space="preserve">"* Tener en cuenta análisis de suelos para construir planes de fertilización
* Capacitación en abonos orgánicos
*  Hacer abonos orgánicos y aplicarlos </t>
  </si>
  <si>
    <t>Realizar aislamiento y siembra de arboles nativos en parte pendiente</t>
  </si>
  <si>
    <t>Realizar aislamiento en area de afloramiento de agua</t>
  </si>
  <si>
    <t>Hacer aislamiento y siembra de arboles de eucalipto y pino</t>
  </si>
  <si>
    <t>Iniciar la siembra de hortalizas y Aromáticas</t>
  </si>
  <si>
    <t>Realizar separación de residuos sólidos para su reutilización y/o disposición final adecuada</t>
  </si>
  <si>
    <t>Realizar compost para aprovechar el estiercol bovino.
Fertilizar praderas</t>
  </si>
  <si>
    <t>* No talar, no quemar, fortalecer el cuidado de las fuentes de agua mediante su reforestacion y aislamiento</t>
  </si>
  <si>
    <t xml:space="preserve">Abonar las praderas con abonos orgánicos y hacer uso de análisis de suelos </t>
  </si>
  <si>
    <t>Medir la longitud de las fuentes hídricas o bosques rivereños a proteger y aislar</t>
  </si>
  <si>
    <t xml:space="preserve">No realizar quemas por mínimas y controladas que sean.
Fortalecer bosques existentes y realizar reforestación </t>
  </si>
  <si>
    <t xml:space="preserve">Proteger o aislar el acceso al río Quilcacé para evita rsu contaminación </t>
  </si>
  <si>
    <t>DAR MANEJO ADECUADO A EMPAQUES DE HERBICIDAS, PLASTICOS</t>
  </si>
  <si>
    <t>CERCAR FUENTES DE AGUA Y CANALIZAR AGUAS, MANEJAR BEBEDEROS PARA ANIMALES</t>
  </si>
  <si>
    <t>REALIZAR MANUALMENTE LOS REGISTROS</t>
  </si>
  <si>
    <t>IMPLEMENTAR FERTILIZACION</t>
  </si>
  <si>
    <t>AUMENTAR LAS DIVISIONES DE POTREROS</t>
  </si>
  <si>
    <t>REALIZAR MANUALMENTE EL REGISTRO</t>
  </si>
  <si>
    <t>REALIZAR MANUAL DE INGRESO</t>
  </si>
  <si>
    <t>SIEMBRA DE ARBOLES DE SOMBRA,DIVISION DE POTREROS,PRACTICAS FERTIIZACION DEL SUEO</t>
  </si>
  <si>
    <t>REALIZAR MANUAL DE INGRESOS</t>
  </si>
  <si>
    <t>NO TIENE BUENA CANTIDAD DE AGUA,NO TIENE ARBOLES PARA PROTECCION DE FUENTES HIDRICAS</t>
  </si>
  <si>
    <t xml:space="preserve">*Aislar las fuentes de agua con alambre de púa para impedir el ingreso del ganado. * Medir la longitud de aislamiento </t>
  </si>
  <si>
    <t>SIEMBRA DE ARBOLES</t>
  </si>
  <si>
    <t>- IDENTIFICAR LAS ZONAS DONDE VA A SEMBRAR LOS ÁRBOLES
- SIEMBRA Y AISLAMIENTO</t>
  </si>
  <si>
    <t>- IDENTIFICAR LAS ZONAS Y AISLAR
- SEMBRAR ÁRBOLES PARA SOMBRÍO Y MADERA</t>
  </si>
  <si>
    <t>- IMPLEMENTAR REGISTROS CONTABLES</t>
  </si>
  <si>
    <t>- AISLAMIENTO DE ESTAS FUENTES DE AGUA
- CONDUCIR ESTAS AGUAS POR MANGUERAS A BEBEDEROS DONDE ACCEDAN LOS BOVINOS</t>
  </si>
  <si>
    <t>- IDENTIFICAR DONDE SE SEMBRARÁ LOS ÁRBOLES PARA SOMBRÍO
- AISLAR Y SEMBRAR</t>
  </si>
  <si>
    <t>- IDENTIFICAR DONDE SE SEMBRARÁ LOS ÁRBOLES 
- AISLAR Y SEMBRAR</t>
  </si>
  <si>
    <t>REGISTRAR INFORMACION</t>
  </si>
  <si>
    <t>Realizar aislamiento de zonas de quebradas</t>
  </si>
  <si>
    <t xml:space="preserve">MEJORAR CAPA CON MATERIA ORGANICA </t>
  </si>
  <si>
    <t>Medir la longitud para el aislamiento de fuentes hidricas.
Realizar protección de las fuentes hídricas</t>
  </si>
  <si>
    <t>"*Aislar las fuentes de agua con alambre de púa para impedir el ingreso del ganado.
* Medir la longitud de aislamiento "</t>
  </si>
  <si>
    <t>*Aislar las fuentes de agua con alambre de púa para impedir el ingreso del ganado.
 * Medir la longitud de aislamiento</t>
  </si>
  <si>
    <t>TIEMPO 1</t>
  </si>
  <si>
    <t xml:space="preserve">&lt;6MESES </t>
  </si>
  <si>
    <t>&lt;1 AÑO</t>
  </si>
  <si>
    <t>&lt; 1AÑO</t>
  </si>
  <si>
    <t>1AÑO</t>
  </si>
  <si>
    <t>&lt;1AÑO</t>
  </si>
  <si>
    <t>6 meses</t>
  </si>
  <si>
    <t xml:space="preserve">
"	1 año 	"</t>
  </si>
  <si>
    <t xml:space="preserve">1 año </t>
  </si>
  <si>
    <t xml:space="preserve">1 año  
</t>
  </si>
  <si>
    <t xml:space="preserve">"	1 año 	"
</t>
  </si>
  <si>
    <t>8 MESES</t>
  </si>
  <si>
    <t>1 AÑO</t>
  </si>
  <si>
    <t>4 meses</t>
  </si>
  <si>
    <t xml:space="preserve">2 años
</t>
  </si>
  <si>
    <t>APARTIR DE LA FECHA</t>
  </si>
  <si>
    <t>6MESES</t>
  </si>
  <si>
    <t>A PARTIR DE LA FECHA</t>
  </si>
  <si>
    <t>2 año</t>
  </si>
  <si>
    <t>1 año</t>
  </si>
  <si>
    <t>&lt; 1 año</t>
  </si>
  <si>
    <t xml:space="preserve">1 Año </t>
  </si>
  <si>
    <t>7 meses</t>
  </si>
  <si>
    <t>&lt;1MES</t>
  </si>
  <si>
    <t>&lt;6MESES</t>
  </si>
  <si>
    <t>&lt;6 MESES</t>
  </si>
  <si>
    <t xml:space="preserve">&lt;6 MESES </t>
  </si>
  <si>
    <t>" 1 año "</t>
  </si>
  <si>
    <t>2 AÑO</t>
  </si>
  <si>
    <t>6 MESES</t>
  </si>
  <si>
    <t>2 años</t>
  </si>
  <si>
    <t>1 Año</t>
  </si>
  <si>
    <t>RECURSOS NECESARIOS 1</t>
  </si>
  <si>
    <t>ARBOLES,MANO DE OBRA,FERTILIZANTES,HERRAMIENTA</t>
  </si>
  <si>
    <t>SEMILLA MANO DE OBRA Y HERRAMIENTAS</t>
  </si>
  <si>
    <t>ABONO MINO DE OBRA</t>
  </si>
  <si>
    <t>ARBOLES,´POSTES,ALAMBRE, MANO DE OBRA</t>
  </si>
  <si>
    <t>ARBOLES POSTES,ALAMBRE</t>
  </si>
  <si>
    <t>POSTE, ALAMBRE, GRAPA, MATERIAL VEGETAL</t>
  </si>
  <si>
    <t xml:space="preserve">
* Construir compostera 
* Asistir a capacitaciones 
* Materia orgánica para compostar "</t>
  </si>
  <si>
    <t xml:space="preserve">* Cinta métrica
* Alambre de púa
* Postes
* Grapas
* Mano de obra 
* Herramienta"
</t>
  </si>
  <si>
    <t xml:space="preserve">
* Cinta métrica
* Alambre de púa
* Postes
* Grapas
* Mano de obra 
* Herramienta"
"</t>
  </si>
  <si>
    <t xml:space="preserve">* Cinta métrica 
 * Alambre de púa 
 * Postes 
 * Grapas 
 * Mano de obra  
* Herramienta 
</t>
  </si>
  <si>
    <t>* Cinta métrica
* Alambre de púa
* Postes
* Grapas
* Mano de obra 
* Herramienta"</t>
  </si>
  <si>
    <t xml:space="preserve">PLÁNTULAS
FERTILIZANTES
</t>
  </si>
  <si>
    <t>- PLÁNTULAS
- FERTILIZANTES
- MANO DE OBRA</t>
  </si>
  <si>
    <t xml:space="preserve">-POSTES 
- ALAMBRE DE PÚAS
- CERCA ELÉCTRICA
</t>
  </si>
  <si>
    <t>-POSTES 
- ALAMBRE DE PÚAS
- CERCA ELÉCTRICA
- MANGUERA O TUBOS
- BEBEDERO</t>
  </si>
  <si>
    <t>- LIBRO CONTABLE
- CAPACITACIONES
- LAPICERO</t>
  </si>
  <si>
    <t>- CAPACITACIÓN
- POSTES
- CERCA ELÉCTRICA
- ALAMBRE
- MANO DE OBRA</t>
  </si>
  <si>
    <t>- POSTES
- ALAMBRE
- PLÁNTULAS NATIVAS E INTRODUCIDAS
- MANO DE OBRA
- CERCA ELÉCTRICA</t>
  </si>
  <si>
    <t>Formato, lapicero, capacitación</t>
  </si>
  <si>
    <t>Arboles, postes, alambre, mano de obra, abono organico</t>
  </si>
  <si>
    <t>Postes, Alambre o cerca electrica, arboles de aliso, mano de obra</t>
  </si>
  <si>
    <t xml:space="preserve">* Malla para aislamiento
* Postes
* Puntillas o grapas
* Semillas 
* Herramienta
* Mano de obra "
</t>
  </si>
  <si>
    <t>ARBOLES,POSYES,ALAMBRE</t>
  </si>
  <si>
    <t>ARBOLES,POSTES,ALAMBRE</t>
  </si>
  <si>
    <t>COSTAL, MANO DE OBRA,DISPOSICION FINAL</t>
  </si>
  <si>
    <t>ABONO</t>
  </si>
  <si>
    <t>CUADERNO LAPICERO</t>
  </si>
  <si>
    <t>CUADERNO,LAPICERO,CALCULADORA</t>
  </si>
  <si>
    <t>Cinta métrica, alambre para postes, mano de obra, herramienta</t>
  </si>
  <si>
    <t>* Cinta métrica
* Alambre de púa
* Postes
* Grapas
* Mano de obra 
* Herramienta</t>
  </si>
  <si>
    <t xml:space="preserve">* Construir compostera 
* Asistir a capacitaciones 
* Materia orgánica para compostar </t>
  </si>
  <si>
    <t>* Construir compostera 
* Asistir a capacitaciones 
* Materia orgánica para compostar "</t>
  </si>
  <si>
    <t>Postes, grapas, alambres, arboles, abono, mano de obra</t>
  </si>
  <si>
    <t>Postes, grapas, alambres, arboles, mano de obra</t>
  </si>
  <si>
    <t>Semillas, Abono, Mano de obra, herramientas.</t>
  </si>
  <si>
    <t>Postes, alambre de pua, mano de obra y cerca viva</t>
  </si>
  <si>
    <t>Punto ecológico y canecas</t>
  </si>
  <si>
    <t>compostera, baldes y palines</t>
  </si>
  <si>
    <t>"* Plan de reacción en caso de incendio
* Material vegetal para reforestación 
* Alambre de púa, postes y grapas"</t>
  </si>
  <si>
    <t xml:space="preserve">compostera, compost y análisis de suelos </t>
  </si>
  <si>
    <t xml:space="preserve">decámetro, postes, grapas, alambres </t>
  </si>
  <si>
    <t>Material vegetal, aislamiento y protección de fuentes hídricas</t>
  </si>
  <si>
    <t xml:space="preserve">COSTALES </t>
  </si>
  <si>
    <t>BEBEDEROS, ALAMBRE POSTES, MANO DE OBRA</t>
  </si>
  <si>
    <t>CUADERNO, LAPICERO CALCULADORA</t>
  </si>
  <si>
    <t>FORMATO REGISTROS</t>
  </si>
  <si>
    <t>FERTILIZANTE, MANO DE OBRA</t>
  </si>
  <si>
    <t>POSTE,ALAMBRE, GRAPA, MATERIAL VEGETAL</t>
  </si>
  <si>
    <t>CUADERNO, LAPICERO,CALCULADORA</t>
  </si>
  <si>
    <t>ANALISIS DE SUELO,SIEMBRA DE ARBOLES DE SOMBRA,FERTILIZANTES ORGANICOS</t>
  </si>
  <si>
    <t>SIEMBRA DE ARBOLES,AISLAMIENTO</t>
  </si>
  <si>
    <t>* Cinta métrica * Alambre de púa * Postes * Grapas * Mano de obra * Herramienta"</t>
  </si>
  <si>
    <t>ARBOLES,HERRAMIENTAS,MANO DE OBRA</t>
  </si>
  <si>
    <t xml:space="preserve">- POSTES
- ALAMBRE
- PLÁNTULAS NATIVAS E INTRODUCIDAS
- MANO DE OBRA
</t>
  </si>
  <si>
    <t>- LIBRO CONTABLE
- CAPACITACIONES
- LAPICERO
- CUADERNO
- COMPUTADOR</t>
  </si>
  <si>
    <t>- ALAMBRE
- POSTES
- CERCA ELÉCTRICA
- MANO DE OBRA
- CAPACITACIÓN
- MANGUERA
- BEBEDEROS</t>
  </si>
  <si>
    <t>- ALAMBRE
- POSTES
- CERCA ELÉCTRICA
- MANO DE OBRA
- CAPACITACIÓN
- PLÁNTULAS</t>
  </si>
  <si>
    <t>FORMATO DE REGISTRO,CAPACITACION</t>
  </si>
  <si>
    <t>Postes, alambre de pua, cerca electrica, mano de obra y cerca viva, manguera y bebederos.</t>
  </si>
  <si>
    <t>MATERIA ORGANICA</t>
  </si>
  <si>
    <t>ARBOLES,MANO DE OBRA,FERTILZANTES,HERRAMIENTA</t>
  </si>
  <si>
    <t>Decámetro, alambre de pua, postes, barreton, mano de obra</t>
  </si>
  <si>
    <t>* Plan de reacción en caso de incendio
 * Material vegetal para reforestación 
 * Alambre de púa, postes y grapas</t>
  </si>
  <si>
    <t>* Cinta métrica
 * Alambre de púa
 * Postes
 * Grapas
 * Mano de obra 
 * Herramienta</t>
  </si>
  <si>
    <t>INDICADOR 2</t>
  </si>
  <si>
    <t>29. REGISTROS TÉCNICOS REPRODUCTIVOS</t>
  </si>
  <si>
    <t>22. LITROS DE LECHE POR HA</t>
  </si>
  <si>
    <t>8. CERCAS VIVAS</t>
  </si>
  <si>
    <t>18. SEGURIDAD ALIMENTARIA</t>
  </si>
  <si>
    <t>PROBLEMA 2</t>
  </si>
  <si>
    <t>BAJO NUMERO DE POTREROS</t>
  </si>
  <si>
    <t>NO HAY AISLAMIENTO EN BOSQUE</t>
  </si>
  <si>
    <t>NO HACEN CONTROL DE PESO</t>
  </si>
  <si>
    <t xml:space="preserve">En la finca no se reutilizan los residuo sólidos orgánicos e inorgánicos. No les dan ninguna utilidad y tienen inadecuada disposición final. </t>
  </si>
  <si>
    <t xml:space="preserve">"No se realiza fertilización o se realiza sin análisis de suelos. 
Hay encharcamientos o resequedad y baja actividad biológica. "
</t>
  </si>
  <si>
    <t xml:space="preserve">
"No se realiza fertilización o se realiza sin análisis de suelos. 
Hay encharcamientos o resequedad y baja actividad biológica. "        </t>
  </si>
  <si>
    <t xml:space="preserve">No se realiza fertilización o se realiza sin análisis de suelos.  
Hay encharcamientos o resequedad y baja actividad biológica.  
</t>
  </si>
  <si>
    <t>NO PROTEGE</t>
  </si>
  <si>
    <t xml:space="preserve">"No se realiza fertilización o se realiza sin análisis de suelos. 
Hay encharcamientos o resequedad y baja actividad biológica. "        "
</t>
  </si>
  <si>
    <t>NO HAY REGISTROS TÉCNICOS Y REPRODUCTIVOS EN LA FINCA</t>
  </si>
  <si>
    <t>- LOS SEMOVIENTES ENTRAN A LA ZONA DEL BOSQUE INHIBIENDO EL CRECIMIENTO DE LAS PLANTAS
- SE UTILIZA MADERA DE ÁRBOLES NATIVOS PARA LA CONSTRUCCIÓN DE CERCAS</t>
  </si>
  <si>
    <t>NO EXISTE ÁRBOLES EN EL POTRERO NI POR LOS LINDEROS</t>
  </si>
  <si>
    <t>- ESTÁ MUY BAJA LA PRODUCCIÓN DE LECHE EN RELACIÓN CON EL ÁREA EN PRADERAS</t>
  </si>
  <si>
    <t>NO TIENE CERCAS VIVAS EN LAS DIVISIONES DE LOS POTREROS</t>
  </si>
  <si>
    <t>NO HAY ÁRBOLES PARA CERCAS VIVAS EN LAS DIVISIONES DE LOS POTREROS</t>
  </si>
  <si>
    <t>No hay registro de eventos ganaderos</t>
  </si>
  <si>
    <t>BAJA CANTIDAD DE CERCOS VIVOS</t>
  </si>
  <si>
    <t>NO HAY PRESENCIA DE ARBOLES EN POTRERO</t>
  </si>
  <si>
    <t xml:space="preserve">
La finca solo cuenta con presencia de monocultivo de praderas, es decir, no existen arreglos espaciales que integren policultivos y agroforestería en multiestratos. 
</t>
  </si>
  <si>
    <t>NO HAY CERCAS VIVAS</t>
  </si>
  <si>
    <t>BAJA CARGA ANIMAL</t>
  </si>
  <si>
    <t>BAJO PESO</t>
  </si>
  <si>
    <t>NO SE TIENE REGISTRO DE INGRESO</t>
  </si>
  <si>
    <t>Baja utilizacion de arboles en las cercas de divisiones de potreros y linderos</t>
  </si>
  <si>
    <t>La utilización de árboles en las cercas de divisiones de potreros y linderos es menor del 5%</t>
  </si>
  <si>
    <t>La presencia de árboles distribuidos por hectárea en potreros (árboles dispersos o en arreglo espacial) es menor de 5 árboles</t>
  </si>
  <si>
    <t>"No se realiza fertilización o se realiza sin análisis de suelos. 
Hay encharcamientos o resequedad y baja actividad biológica. "</t>
  </si>
  <si>
    <t xml:space="preserve">La finca no produce alimentos para el autoconsumo familiar. 	"* Destinar un área y establecer huerto de cultivos de pancoger </t>
  </si>
  <si>
    <t>Bajo numero de arboles en potrero</t>
  </si>
  <si>
    <t>Potreros sin presencia de arboles</t>
  </si>
  <si>
    <t>NUMERO DE POTREROS</t>
  </si>
  <si>
    <t xml:space="preserve">No produce productos para la alimentación familiar </t>
  </si>
  <si>
    <t xml:space="preserve">No le dan utilidad a los residuos sólidos generados y se realizan quemas </t>
  </si>
  <si>
    <t>"No se realiza fertilización o se realiza sin análisis de suelos. 
Hay encharcamientos o resequedad y baja actividad biológica. "	"* Tener en cuenta análisis de suelos para construir planes de fertilización</t>
  </si>
  <si>
    <t xml:space="preserve">En el predio no se producen alimentos para la familia </t>
  </si>
  <si>
    <t xml:space="preserve">Ausencia de producción de alimentos para consumo familiar </t>
  </si>
  <si>
    <t>No se protege, se hace aprovechamiento indiscriminado y NO se hace enriquecimiento con especies nativas y NO se permite la regeneración natural 	"</t>
  </si>
  <si>
    <t>Se hacen quemas, hay baja cobertura vegetal en pendientes</t>
  </si>
  <si>
    <t>El predio no produce alimentos destinado al autoconsumo de la familia</t>
  </si>
  <si>
    <t>BAJA DENSIDAD DE ARBOLES EN POTRERO</t>
  </si>
  <si>
    <t>BAJA CANTIDAD DE POTREROS</t>
  </si>
  <si>
    <t xml:space="preserve">NO ASISTEN A CAPACITACIONES </t>
  </si>
  <si>
    <t>NO SE FERTILIZA</t>
  </si>
  <si>
    <t>BAJA PRODUCCION</t>
  </si>
  <si>
    <t>DESCUIDO,DETECCION DE ENFERMEDADES TARDIAMENTE</t>
  </si>
  <si>
    <t>POCOS POTREROS EN FINCA</t>
  </si>
  <si>
    <t>NO SE LLEVAN REGISTROS</t>
  </si>
  <si>
    <t>FALTA DE DIFUCION TECNOLOGICA,LO CUAL NO PERMITE ACTUALIZARCE EN NUEVAS TECNOLOGIAS PARA DESARROLLAR EN EL PREDIO</t>
  </si>
  <si>
    <t>La presencia de árboles distribuidos por hectárea en potreros (árboles dispersos o en arreglo espacial) es menor de 5 árboles	"</t>
  </si>
  <si>
    <t>- NO TIENE REGISTROS CONTABLES DE LA FINCA</t>
  </si>
  <si>
    <t>- NO TIENE REGISTRADO LOS INGRESOS Y EGRESOS DE LA FINCA</t>
  </si>
  <si>
    <t>NO TIENE HUERTO CASERO EN LA FINCA</t>
  </si>
  <si>
    <t>- NO ESTÁ PROTEGIDO PARA ENTRADA DE LOS ANIMALES (VACAS) AL BOSQUE
- SE CORTA PARA POSTEADURA ÁRBOLES NATIVOS</t>
  </si>
  <si>
    <t>NO TIENE REGISTROS DE INGRESOS Y EGRESOS DE LA UNIDAD PRODUCTIVA</t>
  </si>
  <si>
    <t>NO HAY DIFUSION TECNOLOGICA</t>
  </si>
  <si>
    <t>CANTIDAD MINIMA DE ARBOLES EN POTRERO</t>
  </si>
  <si>
    <t>MANEJO INADECUADO DE ENVASES</t>
  </si>
  <si>
    <t>NO TIENE ACCESO A CREDITO</t>
  </si>
  <si>
    <t xml:space="preserve">No se realiza fertilización teniendo en cuenta análisis de suelos </t>
  </si>
  <si>
    <t>Se hacen quemas, existe baja cobertura vegetal del suelo con pendiente severa.</t>
  </si>
  <si>
    <t>ACTIVIDADES CORRECTIVAS 2</t>
  </si>
  <si>
    <t>DIVIDIR MAS POTREROS</t>
  </si>
  <si>
    <t>CERCAR EL PERIMETRO</t>
  </si>
  <si>
    <t>LLEVAR CONTROL Y REGISTRO DE PESO</t>
  </si>
  <si>
    <t xml:space="preserve">* Reciclar residuos inorgánicos
* Realizar triple lavado a residuos a empaques de insumos químicos  
* Reutilizar residuos inorgánicos no tóxicos. 
* Realizar separación de residuos sólidos en la fuente 
* Asistir a capacitaciones"	</t>
  </si>
  <si>
    <t xml:space="preserve">
"* Tener en cuenta análisis de suelos para construir planes de fertilización
* Capacitación en abonos orgánicos
*  Hacer abonos orgánicos y aplicarlos </t>
  </si>
  <si>
    <t xml:space="preserve">* Tener en cuenta análisis de suelos para construir planes de fertilización 
* Capacitación en abonos orgánicos 
*  Hacer abonos orgánicos y aplicarlos  
 </t>
  </si>
  <si>
    <t>AISLAR LA ZONA DE BOSQUE</t>
  </si>
  <si>
    <t xml:space="preserve">* Tener en cuenta análisis de suelos para construir planes de fertilización
* Capacitación en abonos orgánicos
*  Hacer abonos orgánicos y aplicarlos 
</t>
  </si>
  <si>
    <t>- REGISTRAR LOS EVENTOS PRESENTADOS EN EL HATO</t>
  </si>
  <si>
    <t>REGISTRAR EVENTOS Y ACTIVIDADES QUE SE PRESENTAN Y SE REALIZAN EN LA FINCA</t>
  </si>
  <si>
    <t>- AISLAR EL BOSQUE MEDIANTE CERCAS
- DISMINUIR LA TALA DE MADERA PARA POSTEADURA DE CERCAS</t>
  </si>
  <si>
    <t>- IDENTIFICAR ZONAS Y LINDEROS
- PLANEAR SIEMBRAS
- AISLAR LAS FRANJAS PARA SIEMBRA</t>
  </si>
  <si>
    <t>- PLANEAR PASTOREO ROTACIONAL APROVECHANDO LA CERCA ELÉCTRICA
- DIVIDIR EN FRANJAS SEGÚN REQUERIMIENTO</t>
  </si>
  <si>
    <t>- PLANEAR LA DIVISIÓN DE LOS POTREROS
- AISLAR  EL SITIO DONDE SE SEMBRARÁ</t>
  </si>
  <si>
    <t>- IDENTIFICAR Y PLANEAR LA DIVISIÓN DE LAS PRADERAS
- DELIMITAR ESTAS ZONAS
- SEMBRAR ÁRBOLES</t>
  </si>
  <si>
    <t>Iniciar con el registro de informacion técnica y reproductiva</t>
  </si>
  <si>
    <t>Diseñar y sembrar arboles como cercos vivos en divisiones</t>
  </si>
  <si>
    <t>Siembra planificada de arboles en SSP en divisiones de potrero</t>
  </si>
  <si>
    <t xml:space="preserve">* Implementar subsistemas productivos agrícolas, pecuarios y forestales 
* Realizar arreglos espaciales forestales (Sistemas Silvopastoriles Intensivos)
</t>
  </si>
  <si>
    <t>SEMBRAR ARBOLES PARA CERCAS VIVAS</t>
  </si>
  <si>
    <t>MEJORAR ROTACION DE PRADERAS AUMENTAR CARGA ANIMAL</t>
  </si>
  <si>
    <t>MEJORAR NUTRICION</t>
  </si>
  <si>
    <t>REALIZAR FORMATO DE REGISTRO</t>
  </si>
  <si>
    <t>Incorporar árboles en las cercas de divisiones y linderos para disminuir presion hacia los bosques y fortalcer corredores biologicos</t>
  </si>
  <si>
    <t>* Tener en cuenta análisis de suelos para construir planes de fertilización
* Capacitación en abonos orgánicos
* Hacer abonos orgánicos y aplicarlos</t>
  </si>
  <si>
    <t xml:space="preserve">* Siembra de especies forestales nativas e introducidas para el fortalecimiento de la funcionalidad ecológica y paisajística en las divisiones de potreros y/o linderos </t>
  </si>
  <si>
    <t xml:space="preserve">* Realizar aislamiento de los árboles existentes en proceso de crecimiento
* Realizar siembras de árboles con el fin de mejorar el microclima y la regulación del clima </t>
  </si>
  <si>
    <t>"* Tener en cuenta análisis de suelos para construir planes de fertilización
* Capacitación en abonos orgánicos
* Hacer abonos orgánicos y aplicarlos 
"</t>
  </si>
  <si>
    <t>*Aislamiento de huerto 
* Realizar siembras escalonadas para mantener productos alimenticios como hortalizas o tubérculos durante todo el año * Malla para aislamiento</t>
  </si>
  <si>
    <t>Sembrar arboles en zonas de ladera</t>
  </si>
  <si>
    <t>Siembra de arboles en divisiones de potreros</t>
  </si>
  <si>
    <t>Sembrar arboles en potrero por las divisiones de potrero de acuerdo a la orientación del sol</t>
  </si>
  <si>
    <t>Cantidad minima de divisiones de potreros con areas muy grandes</t>
  </si>
  <si>
    <t>Diversificar la producción agropecuaria con el objetivo de fortalecer la seguridad alimentaria</t>
  </si>
  <si>
    <t>Realizar separación de residuos sólidos en la fuente y buscar alternativas de reutilización</t>
  </si>
  <si>
    <t>* Capacitación en abonos orgánicos
*  Hacer abonos orgánicos y aplicarlos</t>
  </si>
  <si>
    <t xml:space="preserve">Realizar huerto y diversificar la producción </t>
  </si>
  <si>
    <t>Hacer y mantener un huerto productivo y siembra escalonada</t>
  </si>
  <si>
    <t xml:space="preserve">* Fortalecer procesos de restauración natural mediante la siembra de especies forestales nativas, posibilitando la conexión entre relictos de bosque.
* Realizar aislamiento de relictos de bosque o vegetación riparia </t>
  </si>
  <si>
    <t>Aprovechar los residuos organicos generados, para la elaboracion de compost con estiércol de vaca</t>
  </si>
  <si>
    <t xml:space="preserve">Cultivar un huerto con hortaliza o cultivos de pancoger. Diversificar la producción </t>
  </si>
  <si>
    <t>SEMBRAR ARBOLES Y DAR MANEJO A LOS QUE SE ESTAN SEMBRADOS</t>
  </si>
  <si>
    <t>ROTACION Y MANEJO DE POTREROS</t>
  </si>
  <si>
    <t>ASISTIR A TALLERES Y DIFUNDIR EL CONOCIMIENTO</t>
  </si>
  <si>
    <t>SEGUN RESULTADOS DE SUELOS IMPLEMENTAR FERTILIZACION</t>
  </si>
  <si>
    <t>MEJORAR LA ROTACION</t>
  </si>
  <si>
    <t>REALIZAR UN PLAN DE PREVENCION DE ENFERMEDADES</t>
  </si>
  <si>
    <t>REALIZAR MAS DIVISIONES EN POTRERO</t>
  </si>
  <si>
    <t>REGISTRAR LA INFORMACION</t>
  </si>
  <si>
    <t>REALIZAR MANUAL DE INGRSOS</t>
  </si>
  <si>
    <t>ASISTIR TALLERES Y CAPACITACIONES CUANDO SE REALICEN DENTRO DE LA COMUNIDAD.</t>
  </si>
  <si>
    <t xml:space="preserve">* Realizar aislamiento de los árboles existentes en proceso de crecimiento
* Realizar siembras de arboles con el fin de mejorar el microclima y la regulación del clima "	</t>
  </si>
  <si>
    <t>REGISTRAR INGRESOS Y EGRESOS DE LA FINCA</t>
  </si>
  <si>
    <t>- LLEVAR REGISTRADO LAS INVERSIONES Y UTILIDADES GENERADAS EN LA FINCA</t>
  </si>
  <si>
    <t>- IDENTIFICAR EL LOTE PARA EL HUERTO
- AISLAR
- SEMBRAR</t>
  </si>
  <si>
    <t>- AISLAMIENTO DE LOS BOSQUE MÁS DENSOS
- SIEMBRA DE ESPECIES NATIVAS E INTRODUCIDAS EN LOS LINDEROS</t>
  </si>
  <si>
    <t>- REGISTRAR TODO TIPO DE COSTOS GENERADOS EN LA FINCA Y LAS GANACIAS</t>
  </si>
  <si>
    <t>- REGISTRAR CADA UNO DE LOS GASTOS, INVERSIONES Y UTILIDADES DE LA UNIDAD PRODUCTIVA</t>
  </si>
  <si>
    <t>ASISTIR A TALLERES O CAPACITACIONES</t>
  </si>
  <si>
    <t>Siembra de arboles (Eucalipto, Pino, Acacia) en hileras de oriente a occidente</t>
  </si>
  <si>
    <t xml:space="preserve"> DISPOSICION DE ENVASES</t>
  </si>
  <si>
    <t>Tener en cuenta análisis de suelos para la elaboración del plan de fertilizacion de praderas</t>
  </si>
  <si>
    <t>* Realizar aislamiento de los árboles existentes en proceso de crecimiento
 * Realizar siembras de arboles con el fin de mejorar el microclima y la regulación del clima</t>
  </si>
  <si>
    <t>"* No realizar quemas, procurar mantener la cobertura del suelo 
 * Realizar siembras de arboles o arbustos en sitios con pendiente pronunciada"</t>
  </si>
  <si>
    <t>"* Tener en cuenta análisis de suelos para construir planes de fertilización
* Capacitación en abonos orgánicos
*  Hacer abonos orgánicos y aplicarlos 
"</t>
  </si>
  <si>
    <t>TIEMPO 2</t>
  </si>
  <si>
    <t xml:space="preserve">6 meses  </t>
  </si>
  <si>
    <t xml:space="preserve">
6 meses</t>
  </si>
  <si>
    <t xml:space="preserve">6 meses </t>
  </si>
  <si>
    <t>"6 meses"</t>
  </si>
  <si>
    <t xml:space="preserve">1 año
</t>
  </si>
  <si>
    <t>2 AÑOS</t>
  </si>
  <si>
    <t>"	1 año 	"</t>
  </si>
  <si>
    <t>MAYOR NUMERO DE POTREROS</t>
  </si>
  <si>
    <t>UN MES EN ADELANTE</t>
  </si>
  <si>
    <t xml:space="preserve">&lt;1 MESES </t>
  </si>
  <si>
    <t xml:space="preserve">1 año 	</t>
  </si>
  <si>
    <t>RECURSOS NECESARIOS 2</t>
  </si>
  <si>
    <t>ARBOLES CERCAS POSTES ALAMBRE</t>
  </si>
  <si>
    <t>POSTE ALAMBRE MANO DE OBRA</t>
  </si>
  <si>
    <t>CINTA DE PESAJE Y REGISTRO</t>
  </si>
  <si>
    <t xml:space="preserve">
* Punto ecológico
* Compostera 
* Área de lavado de empaques de insumos químicos "</t>
  </si>
  <si>
    <t xml:space="preserve">
* Construir compostera 
* Asistir a capacitaciones 
* Materia orgánica para compostar </t>
  </si>
  <si>
    <t xml:space="preserve">
* Construir compostera 
* Asistir a capacitaciones 
* Materia orgánica para compostar "
</t>
  </si>
  <si>
    <t xml:space="preserve">
* Construir compostera  
* Asistir a capacitaciones  
* Materia orgánica para compostar  </t>
  </si>
  <si>
    <t xml:space="preserve">- CUADERNO
- LAPICERO
</t>
  </si>
  <si>
    <t>- CUADERNO
- LAPICERO</t>
  </si>
  <si>
    <t>-POSTES 
- ALAMBRE DE PÚAS
- CERCA ELÉCTRICA
- MANO DE OBRA</t>
  </si>
  <si>
    <t>-POSTES 
- ALAMBRE DE PÚAS
- CERCA ELÉCTRICA
- MANO DE OBRA
- PLÁNTULAS DE ÁRBOLES NATIVOS E INTRODUCIDOS</t>
  </si>
  <si>
    <t>- CERCA ELÉCTRICA
- CINTA ELÉCTRICA
- CAPACITACIONES
- POSTES MÓVILES</t>
  </si>
  <si>
    <t>- POSTES
- ALAMBRE DE PÚAS
- PLÁNTULAS NATIVAS E INTRODUCIDAS
- MANO DE OBRA
- CERCA ELÉCTRICA</t>
  </si>
  <si>
    <t>Formatos, lapicero, capacitación, aforo, cinta de pesaje</t>
  </si>
  <si>
    <t>Arboles, postes, cerca electrica, mano de obra, abono</t>
  </si>
  <si>
    <t>Arboles, postes, alambre, cerca electrica y mano de obra</t>
  </si>
  <si>
    <t xml:space="preserve">* Diseño y distribución de subsistemas 
* Semillas 
* Material vegetal forestal
* Infraestructura agropecuaria 
* Herramientas
* Mano de obra "
</t>
  </si>
  <si>
    <t>ARBOLES,POSTES ALAMBRE</t>
  </si>
  <si>
    <t>CUADERNO, LAPICER</t>
  </si>
  <si>
    <t>MANEJPO DE CERCAS ANIMALES FERTILIZAR</t>
  </si>
  <si>
    <t>CONCENTRADO Y ROTACION DE POTREROS</t>
  </si>
  <si>
    <t>Cinta metrica, alambre de pua, postes, mano de obra, herramienta</t>
  </si>
  <si>
    <t xml:space="preserve">* Postes
* Grapas 
* Alambre
* Material vegetal forestal 
* Cinta métrica 
* Herramientas
* Mano de obra </t>
  </si>
  <si>
    <t>* Postes
* Grapas 
* Alambre
* Material vegetal forestal 
* Herramientas
* Mano de obra</t>
  </si>
  <si>
    <t>"* Construir compostera 
* Asistir a capacitaciones 
* Materia orgánica para compostar "</t>
  </si>
  <si>
    <t>* Postes
* Puntillas o grapas
* Semillas 
* Herramienta
* Mano de obra "</t>
  </si>
  <si>
    <t>Postes, grapas, alambres, arboles, abono, mano de obra, cerca electrica</t>
  </si>
  <si>
    <t>Postes, alambre, cerca electrica, arboles para cerco vivo</t>
  </si>
  <si>
    <t>Seleccionar un área, preparar el suelo para establecer huerto</t>
  </si>
  <si>
    <t>Punto ecológico  y asistir a capacitaciones</t>
  </si>
  <si>
    <t xml:space="preserve">semillas, mano de obra </t>
  </si>
  <si>
    <t>Semillas, mano de obra, área de siembra</t>
  </si>
  <si>
    <t>* Material vegetal forestal 
* Cinta métrica
* Alambre de púa
* Postes 
* Grapas
* herramientas
* Mano de obra "</t>
  </si>
  <si>
    <t>compostera, palas, baldes y mano de obra</t>
  </si>
  <si>
    <t>semillas, cercas, mano de obra y compost</t>
  </si>
  <si>
    <t>ARBOLES Y HERRAMIENTA</t>
  </si>
  <si>
    <t>CINTA DE MANEJO PARA PASTOREO</t>
  </si>
  <si>
    <t>ASISTIR A TALLERES Y REUNIONES</t>
  </si>
  <si>
    <t>FORMATOS DE REGISTRO, LAPICERO</t>
  </si>
  <si>
    <t>POSTE, ALAMBRE,PUA, MATERIAL VEGETAL</t>
  </si>
  <si>
    <t>VACUNAS,VITAMINAS,DESPARACITANTES ENTRE OTROS</t>
  </si>
  <si>
    <t>POSTES,ALAMBRE,GRAPAS,MANO DE OBRA</t>
  </si>
  <si>
    <t>FORMATO DE REGISTROS</t>
  </si>
  <si>
    <t>TALLERES,CAPACITACIONES</t>
  </si>
  <si>
    <t>CUADERNO,LAPICERO,CALCUALDORA</t>
  </si>
  <si>
    <t>"* Postes
* Grapas 
* Alambre
* Material vegetal forestal 
* Herramientas
* Mano de obra "</t>
  </si>
  <si>
    <t>- LIBRO CONTABLE
- CAPACITACIONES
- LAPICERO
- CUADERNO</t>
  </si>
  <si>
    <t>- LIBRO CONTABLE
- COMPUTADOR
- CAPACITACIONES
- LAPICERO
- CUADERNO</t>
  </si>
  <si>
    <t>- HERRAMIENTAS
- SEMILLAS
- MALLA
- POSTES
- MANO DE OBRA</t>
  </si>
  <si>
    <t>- ALAMBRE
- POSTES
- CERCA ELÉCTRICA
- MANO DE OBRA
- CAPACITACIÓN</t>
  </si>
  <si>
    <t>- CAPACITACIÓN
- CUADERNO
 - LIBRO CONTABLE
- LAPICERO</t>
  </si>
  <si>
    <t>CAPACITACIONES</t>
  </si>
  <si>
    <t>COSTAL Y DISPOSICION</t>
  </si>
  <si>
    <t>Análisis de suelos</t>
  </si>
  <si>
    <t>* Plan de reacción en caso de incendio
* Material vegetal para reforestación 
* Alambre de púa, postes y grapas"</t>
  </si>
  <si>
    <t>* Postes
 * Grapas 
 * Alambre
 * Material vegetal forestal 
 * Herramientas
 * Mano de obra</t>
  </si>
  <si>
    <t>"* Material vegetal forestal 
 * Mano de obra 
 * Material vegetal forrajes para mantener la cobertura vegetal
 * Abonos orgánicos
 * Diseño de siembra en curvas a nivel"</t>
  </si>
  <si>
    <t>INDICADOR 3</t>
  </si>
  <si>
    <t>27. TASA DE MORTALIDAD</t>
  </si>
  <si>
    <t>1. PROTECCIÓN DE FUENTES HÍDRICAS</t>
  </si>
  <si>
    <t>21. NÚMERO DE POTREROS (FRANJAS O DIVISIONES)</t>
  </si>
  <si>
    <t>28. INTÉRVALO DE PARTOS</t>
  </si>
  <si>
    <t>21. NÚMERO DE POTREROS FRANJAS O DIVISIONES)</t>
  </si>
  <si>
    <t>PROBLEMA 3</t>
  </si>
  <si>
    <t>La finca no produce alimentos para el autoconsumo familiar.</t>
  </si>
  <si>
    <t xml:space="preserve">La utilización de árboles en las cercas de divisiones de potreros y linderos es menor del 5%       </t>
  </si>
  <si>
    <t xml:space="preserve">La utilización de árboles en las cercas de divisiones de potreros y linderos es menor del 5%       
 </t>
  </si>
  <si>
    <t xml:space="preserve">
La utilización de árboles en las cercas de divisiones de potreros y linderos es menor del 5% 
</t>
  </si>
  <si>
    <t xml:space="preserve">
La utilización de árboles en las cercas de divisiones de potreros y linderos es menor del 5%	</t>
  </si>
  <si>
    <t>EN EL ÚLTIMO AÑO SE PRESENTÓ MUERTE DE 10 ANIMALES, POR UNA ENFERMEDAD AL PARECER DE TIPO INTESTINAL</t>
  </si>
  <si>
    <t>- LA QUEBRADA ESTÁ SIN AISLAR, LOS ANIMALES ENTRAN A SU CAUDAL</t>
  </si>
  <si>
    <t>DENTRO DE LAS PRADERAS HAY POCA PRESENCIA DE ÁRBOLES PARA SOMBRÍO</t>
  </si>
  <si>
    <t>NO HAY HUERTO CASERO, NO TIENE SEGURIDAD ALIMENTARIA</t>
  </si>
  <si>
    <t>- TIENE CERCA ELÉCTRICA, PERO NO ES BIEN APROVECHADA PARA LA ROTACIÓN</t>
  </si>
  <si>
    <t>LA EXTENSIÓN DE TERRENO AMERITA MÁS POTREROS</t>
  </si>
  <si>
    <t>NO TIENE HUERTO CASERO</t>
  </si>
  <si>
    <t>No tiene huerta casera</t>
  </si>
  <si>
    <t>No se realiza aprovechamiento de residuos orgánicos, no se hace compostaje</t>
  </si>
  <si>
    <t>Ausencia de cercos vivos</t>
  </si>
  <si>
    <t xml:space="preserve">En la finca no les dan ninguna utilidad a los subproductos agropecuarios para su compostaje. 	
</t>
  </si>
  <si>
    <t>BAJA PRODUCCION DE LECHE</t>
  </si>
  <si>
    <t>INADECUADO MANEJO DE ENVASES</t>
  </si>
  <si>
    <t>NO APROVECHA Y QUEMA</t>
  </si>
  <si>
    <t>NO TIENEN HUERTA</t>
  </si>
  <si>
    <t>NO SE TIENE SISTEMA PRODUCTIVOS DIVERIFICADOS,MONOCULTIVO DE FRESA</t>
  </si>
  <si>
    <t xml:space="preserve">En el predio no se producen alimentos para autoconsumo </t>
  </si>
  <si>
    <t xml:space="preserve">No existe utilización de árboles en la división de potreros, son pocos los árboles en linderos </t>
  </si>
  <si>
    <t xml:space="preserve">En la finca no les dan ninguna utilidad a los subproductos agropecuarios para su compostaje. </t>
  </si>
  <si>
    <t>Hace uso de herbicidas y pesticidas de la lista de la docena sucia y usa insumos de la categoría toxicológica I Y II</t>
  </si>
  <si>
    <t>Falta cubrir areas con cercos vivos como cortinas rompevientos</t>
  </si>
  <si>
    <t>Falta cubrir areas con cercos vivos</t>
  </si>
  <si>
    <t>Baja cantidad de cercos vivos</t>
  </si>
  <si>
    <t>BAJA PRODUCCIÓN DE LECHE HA/AÑO</t>
  </si>
  <si>
    <t>No se realiza aprovechamiento de residuos orgánicos</t>
  </si>
  <si>
    <t xml:space="preserve">Ausencia de sistemas productivos diversificados </t>
  </si>
  <si>
    <t xml:space="preserve">No hay suficientes potreros para la recuperacion de praderas </t>
  </si>
  <si>
    <t xml:space="preserve">Los ingresos de la finca NO cubren los costos de la misma. 	</t>
  </si>
  <si>
    <t xml:space="preserve">No existe utilidad de los residuos generados en la finca </t>
  </si>
  <si>
    <t>La finca no tiene aprovechamiento de residuos organicos y/o cosecha</t>
  </si>
  <si>
    <t>NO TIENEN HUERTAS CASERAS</t>
  </si>
  <si>
    <t>ACCIDENTES POR ENTERRAMIENTO EN HUMEDALES</t>
  </si>
  <si>
    <t>DESCONOCIMIENTO DE BENEFICIOS DE  SEGURIDAD ALIMENTARIO</t>
  </si>
  <si>
    <t>NO SE PROTEGEN LOS NACEDEROS</t>
  </si>
  <si>
    <t>DESCUIDO,DETECCIONDE ENFERMEDADES TARDIAMENTE</t>
  </si>
  <si>
    <t>FALTA DE DIFUSION TECNOLOGICA,LO CUAL NO PERMITE ACTUALIZARCE EN NUEVAS TECNOLOGIAS PARA DESARROLLAR EN EL PREDIO</t>
  </si>
  <si>
    <t xml:space="preserve">La utilización de árboles en las cercas de divisiones de potreros y linderos es menor del 5%	</t>
  </si>
  <si>
    <t>- POCA PRODUCTIVIDAD EN EL HUERTO CASERO</t>
  </si>
  <si>
    <t>- POCA PRODUCCIÓN DE ALIMENTO PARA CONSUMO PROPIO</t>
  </si>
  <si>
    <t>- DÍAS ABIERTOS ENTRE 180 Y 240 DÍAS SON DEMASIADOS PARA LA ACTIVIDAD</t>
  </si>
  <si>
    <t>NO TIENE HUERTO CASERO, NO PRODUCE ALIMENTOS PARA AUTOCONSUMO</t>
  </si>
  <si>
    <t>HAY ROTACIÓN POR FRANJAS, PERO NO SE REALIZA LA PLANEACIÓN PARA PASTOREO</t>
  </si>
  <si>
    <t>POAS DIVISIONES PARA LA ACTIVIDAD PECUARIA</t>
  </si>
  <si>
    <t>BAJA CANTIDAD DE ARBOLES EN CERCO VIVO</t>
  </si>
  <si>
    <t>BAJO PESO AL DESTETE</t>
  </si>
  <si>
    <t xml:space="preserve">No se aprovechan subproductos como: Estiércol Bovino </t>
  </si>
  <si>
    <t>El productor no maneja registros contables ni de costos de las actividades productivas de la finca</t>
  </si>
  <si>
    <t>"No se realiza fertilización o se realiza sin análisis de suelos. 
 Hay encharcamientos o resequedad y baja actividad biológica. "</t>
  </si>
  <si>
    <t>ACTIVIDADES CORRECTIVAS 3</t>
  </si>
  <si>
    <t xml:space="preserve">"* Destinar un área y establecer huerto de cultivos de pancoger 
*Aislamiento de huerto 
* Realizar siembras escalonadas para mantener productos alimenticios como hortalizas o tubérculos durante todo el año
	</t>
  </si>
  <si>
    <t xml:space="preserve">* Siembra de especies forestales nativas e introducidas para el fortalecimiento de la funcionalidad ecológica y paisajistica en las divisiones de potreros y/o linderos         
 </t>
  </si>
  <si>
    <t xml:space="preserve">* Siembra de especies forestales nativas e introducidas para el fortalecimiento de la funcionalidad ecológica y paisajistica en las divisiones de potreros y/o linderos       </t>
  </si>
  <si>
    <t xml:space="preserve">* Siembra de especies forestales nativas e introducidas para el fortalecimiento de la funcionalidad ecológica y paisajística en las divisiones de potreros y/o linderos  
</t>
  </si>
  <si>
    <t xml:space="preserve">
* Siembra de especies forestales nativas e introducidas para el fortalecimiento de la funcionalidad ecológica y paisajistica en las divisiones de potreros y/o linderos         
</t>
  </si>
  <si>
    <t>- CONSULTAR CON EL MÉDICO VETERINARIO INMEDIATAMENTE SI VUELVE A PRESENTARSE
- REPORTAR EL HECHO ANTE ENTES MUNICIPALES, DEPARTAMENTALES O NACIONALES (SECRETARÍAS DE DESARROLLO AGROPECUARIO, ICA, ETC)</t>
  </si>
  <si>
    <t>INICIAR CON EL AISLAMIENTO DE ESTA FUENTE</t>
  </si>
  <si>
    <t>- SIEMBRA DE ÁRBOLES NATIVOS E INTRODUCIDOS
- AISLAR LOS ÁRBOLES PARA FAVORECER EL CRECIMIENTO</t>
  </si>
  <si>
    <t>- IDENTIFICAR EL TERRENO PARA EL HUERTO
- AISLAR CON MALLA
- ALISTAR TERRENO
- SEMBRAR HORTALIZAS</t>
  </si>
  <si>
    <t>- REALIZAR AFOROS PARA PLANEAR DÍAS DE PASTOREO
- HACER DIVISIONES O FRANJAS MÓVILES CON CINTA</t>
  </si>
  <si>
    <t>- PLANEAR LA DIVISIÓN DE LOS POTREROS
- TRAZAR, POSTEAR, HACER CERCAS</t>
  </si>
  <si>
    <t>Disponer de una area para la siembra de hortalizas y aromaticas</t>
  </si>
  <si>
    <t xml:space="preserve">Realizar recolección periodica de estiercol bovino y subproductos y residuos de cosecha de fresa para su compostaje </t>
  </si>
  <si>
    <t>Siembra de arboles por el perimetro del predio y divisiones de potrero</t>
  </si>
  <si>
    <t xml:space="preserve">* Realizar compostera 
* Separación de residuos orgánicos en la fuente 
* Recolección de estiercol bovino 
* Capacitaciones 
</t>
  </si>
  <si>
    <t>MEJORAR ROTACION Y FERTILIZACION</t>
  </si>
  <si>
    <t>MEJORAR EL MANEJO DE ENVASES</t>
  </si>
  <si>
    <t>NO HACER QUEMA, HACER COMPOSTAJE</t>
  </si>
  <si>
    <t>IMPLEMENTAR HUERTA</t>
  </si>
  <si>
    <t>MEJORAR ROTACION Y FERTILIZACION1AÑO</t>
  </si>
  <si>
    <t>IMPLEMENTAR SUBSISTEMAS AGRICOLAS Y PECUARIOS</t>
  </si>
  <si>
    <t xml:space="preserve">Establecer un huerto con cultivos de pancoger.
Producción escalonada </t>
  </si>
  <si>
    <t xml:space="preserve">- Realizar división de potreros (diseño). 
-Establecimiento de árboles en divisiones de potreros y linderos </t>
  </si>
  <si>
    <t xml:space="preserve">* Realizar compostera 
* Separación de residuos orgánicos en la fuente 
* Recolección de estiércol bovino 
* Capacitaciones </t>
  </si>
  <si>
    <t>* Suspender el uso de herbicidas y pesticidas de la lista de la docena sucia, así como los insumos con categorías toxicológicas I y II
* Reemplazar el uso de herbicidas y pesticidas con categorías toxicológicas I y II por productos de origen biológico o categoría toxicológica IV</t>
  </si>
  <si>
    <t>* Siembra de especies forestales nativas e introducidas para el fortalecimiento de la funcionalidad ecológica y paisajística en las divisiones de potreros y/o linderos</t>
  </si>
  <si>
    <t>* Siembra de especies forestales nativas e introducidas para el fortalecimiento de la funcionalidad ecológica y paisajistica en las divisiones de potreros y/o linderos</t>
  </si>
  <si>
    <t>"* Realizar compostera 
* Separación de residuos orgánicos en la fuente 
* Recolección de estiercol bovino 
* Capacitaciones "</t>
  </si>
  <si>
    <t>Realizar siembra de arboles en curva de nivel de acuerdo a la planificacion de praderas</t>
  </si>
  <si>
    <t>Establecer cercos vivos en linderos, zona pendiente y area de nacimiento</t>
  </si>
  <si>
    <t>Realizar la siembra de arboles en las divisiones de potrero.</t>
  </si>
  <si>
    <t>Iniciar con el registro de control lechero, realizar la planificacion de las praderas para reducir los dias de ocupación</t>
  </si>
  <si>
    <t xml:space="preserve">Realizar recolección periodica de estiercol bovino para su compostaje </t>
  </si>
  <si>
    <t xml:space="preserve">Realizar huerto familiar diversificado </t>
  </si>
  <si>
    <t xml:space="preserve">* Fortalecer procesos de restauración natural mediante la siembra de especies forestales nativas, posibilitando la conexión entre relictos de bosque.
* Realizar aislamiento de relictos de bosque o vegetación riparia "     </t>
  </si>
  <si>
    <t xml:space="preserve">Implementar subsistemas agrícolas y pecuarios </t>
  </si>
  <si>
    <t xml:space="preserve">Realizar las divisiones necesarias hasta lograr pastoreo rotacional </t>
  </si>
  <si>
    <t>"* Reducir los costos operativos 
* Maximizar la producción 
* Buscar eficiencia administrativa y productiva 
* Disminuir la dependencia de insumos externos</t>
  </si>
  <si>
    <t>Construir compostera, realizar separacio de residuos solidos en la fuente</t>
  </si>
  <si>
    <t>Realizar una compostera y realizar separacion de residuos solidos en la fuente</t>
  </si>
  <si>
    <t>AISLAR CON CERCA LOS HUMEDALES Y FUENTES DE AGUA</t>
  </si>
  <si>
    <t>HACER HUERTAS CASERAS</t>
  </si>
  <si>
    <t>CERCAR Y AISLAR NACEDEROS</t>
  </si>
  <si>
    <t>REALIZAR MANUEL DE INGRESOS</t>
  </si>
  <si>
    <t xml:space="preserve">* Siembra de especies forestales nativas e introducidas para el fortalecimiento de la funcionalidad ecológica y paisajistica en las divisiones de potreros y/o linderos      </t>
  </si>
  <si>
    <t>- ARREGLO Y MANTENIMIENTO DEL HUERTO
- SIEMBRA DE HORTALIZAS PARA AUTOCONSUMO</t>
  </si>
  <si>
    <t>- ARREGLO DEL HUERTO
- SIEMBRA DE ALIMENTOS PARA AUTOCONSUMO</t>
  </si>
  <si>
    <t>- REALIZAR APLICACIÓN DE PURGA Y VITAMINAS Y MINERALES
- DESCARTAR VACAS QUE NO RESPONDEN AL MANEJO
- PALPACIONES</t>
  </si>
  <si>
    <t>- ADECUAR EL LOTE PARA EL HUERTO CASERO
- SEMBRAR HORTALIZAS PARA CONSUMO PROPIO</t>
  </si>
  <si>
    <t>- HACER AFOROS DE LOS POTREROS
- PLANEAR ROTACIÓN SEGUN LA PRODUCCIÓN DE FORRAJES</t>
  </si>
  <si>
    <t>- HACER AFOROS EN LAS PRADERAS
- PLANEAR ROTACIÓN SEGUN LA PRODUCCIÓN DE FORRAJES Y NÚMERO DE VACAS</t>
  </si>
  <si>
    <t>Siembra de arboles en divisiones de potrero</t>
  </si>
  <si>
    <t>AUMENTAR CONSUMO DE FORRAJEY SUPLEMENTAR</t>
  </si>
  <si>
    <t>MANEJO DE PRADERAS</t>
  </si>
  <si>
    <t xml:space="preserve">- Realizar compostera
- Abonar praderas con abonos orgánicos </t>
  </si>
  <si>
    <t>* Tener en cuenta análisis de suelos para construir planes de fertilización
 * Capacitación en abonos orgánicos
 * Hacer abonos orgánicos y aplicarlos</t>
  </si>
  <si>
    <t>* Implementar modelo de registros contables y de costos teniendo en cuenta cada una de las actividades que se realizan en la finca
 * Capacitarse para la interpretación de información contable</t>
  </si>
  <si>
    <t>"* Tener en cuenta análisis de suelos para construir planes de fertilización
 * Capacitación en abonos orgánicos
 * Hacer abonos orgánicos y aplicarlos 
 "</t>
  </si>
  <si>
    <t xml:space="preserve">* Siembra de especies forestales nativas e introducidas para el fortalecimiento de la funcionalidad ecológica y paisajistica en las divisiones de potreros y/o linderos </t>
  </si>
  <si>
    <t>TIEMPO 3</t>
  </si>
  <si>
    <t xml:space="preserve">
2 años</t>
  </si>
  <si>
    <t xml:space="preserve">
  1 año         </t>
  </si>
  <si>
    <t xml:space="preserve">1 año 
</t>
  </si>
  <si>
    <t xml:space="preserve">6 meses	
</t>
  </si>
  <si>
    <t xml:space="preserve">&lt; 1 año </t>
  </si>
  <si>
    <t xml:space="preserve">   1 año         "</t>
  </si>
  <si>
    <t xml:space="preserve"> "	1 año 	"</t>
  </si>
  <si>
    <t xml:space="preserve">2 años </t>
  </si>
  <si>
    <t>1MES</t>
  </si>
  <si>
    <t xml:space="preserve">   1 año        </t>
  </si>
  <si>
    <t xml:space="preserve">HUECO PRODUCTOS DE COSECHAS </t>
  </si>
  <si>
    <t>2AÑOS</t>
  </si>
  <si>
    <t>RECURSOS NECESARIOS 3</t>
  </si>
  <si>
    <t>ARBOLES,MANO DE OBRA,HERRAMIENTAS</t>
  </si>
  <si>
    <t>* Malla para aislamiento
* Postes
* Puntillas o grapas
* Semillas 
* Herramienta
* Mano de obra "</t>
  </si>
  <si>
    <t xml:space="preserve">
* Postes
* Grapas 
* Alambre
* Material vegetal forestal 
* Cinta métrica 
* Herramientas
* Mano de obra "
</t>
  </si>
  <si>
    <t xml:space="preserve">* Postes 
 * Grapas  
* Alambre 
 * Material vegetal forestal  
* Cinta métrica  
* Herramientas 
 * Mano de obra  
</t>
  </si>
  <si>
    <t>- POSTES
- ALAMBRE 
- MANO DE OBRA</t>
  </si>
  <si>
    <t>-POSTES 
- ALAMBRE DE PÚAS
- CERCA ELÉCTRICA
- MANO DE OBRA
- PLÁNTULAS</t>
  </si>
  <si>
    <t>-POSTES 
- ALAMBRE DE PÚAS
- SEMILLAS
- MANO DE OBRA
- MALLA</t>
  </si>
  <si>
    <t>- AFOROS
- CINTA ELÉCTRICA
- ESTACAS O POSTES MÓVILES</t>
  </si>
  <si>
    <t xml:space="preserve">-ALAMBRE
- POSTES
- MALLA
- HERRAMIENTAS
- SEMILLAS 
- ABONOS
</t>
  </si>
  <si>
    <t>Semillas, abono, riego, mano de obra</t>
  </si>
  <si>
    <t>Baldes, palas y composteras, microorganismos, mano de obra</t>
  </si>
  <si>
    <t>Arboles, postes, alambre, abono y mano de obra</t>
  </si>
  <si>
    <t>* Zinc o plástico
* Postes
*  Alambre dulce
* Puntillas 
* Herramientas
* Baldes / costales
* Mano de obra "</t>
  </si>
  <si>
    <t>CINTA PARA ROTACION</t>
  </si>
  <si>
    <t>COSTA,Y DISPOSICION DE ENVACES</t>
  </si>
  <si>
    <t>SEMILLA CERCA MANO DE OBRA</t>
  </si>
  <si>
    <t>ABONOS ORGANICO MANEJO PRADERAS</t>
  </si>
  <si>
    <t>MANO DE OBRA Y CAPACITACIONES</t>
  </si>
  <si>
    <t>Destinar área, semillas, aislar area para siembra, (malla, postes), mano de obra, herramientas</t>
  </si>
  <si>
    <t>Material vegetal forestal, diseño de división de praderas, mano de obra, herramientas</t>
  </si>
  <si>
    <t xml:space="preserve">* Zinc o plástico
* Postes
* Alambre dulce
* Puntillas 
* Herramientas
* Baldes / costales
* Mano de obra </t>
  </si>
  <si>
    <t>* Recipiente para la correcta disposición final de los empaques de este tipo de insumos</t>
  </si>
  <si>
    <t>* Postes
* Grapas 
* Alambre
* Material vegetal forestal 
* Cinta métrica 
* Herramientas
* Mano de obra</t>
  </si>
  <si>
    <t xml:space="preserve">
* Zinc o plástico
* Postes
*  Alambre dulce
* Puntillas 
* Herramientas
* Baldes / costales
* Mano de obra "</t>
  </si>
  <si>
    <t>alambre de pua, cerca eléctrica, arboles</t>
  </si>
  <si>
    <t>Formatos, planificacion de praderas, aforo.</t>
  </si>
  <si>
    <t xml:space="preserve">Baldes, palas y composteras </t>
  </si>
  <si>
    <t xml:space="preserve">seleccionar área, preparar suelo, semillas </t>
  </si>
  <si>
    <t xml:space="preserve">mano de obra, capacitaciones </t>
  </si>
  <si>
    <t>alambre de pua, cerca eléctrica, cerca viva</t>
  </si>
  <si>
    <t>* Elaborar abonos orgánicos en la finca 
* Registros contables y de costos 
* Registros técnicos productivos "</t>
  </si>
  <si>
    <t>ubicacion de la compostera, postes, techo plastico, palas, clavos y baldes</t>
  </si>
  <si>
    <t>Tablas, plástico, zinc, posteadura, mano de obra.</t>
  </si>
  <si>
    <t>SEMILLA, MANO DE OBRA Y HERRAMIENTAS</t>
  </si>
  <si>
    <t>POSTE, ALAMBRE,GRAPA</t>
  </si>
  <si>
    <t>FORMATOS DE REGISTROS</t>
  </si>
  <si>
    <t>POSTE ALAMBRE, GRAPA</t>
  </si>
  <si>
    <t>VACUNAS,VITAMINAS.DESPARACITANTES ENTRE OTROS</t>
  </si>
  <si>
    <t xml:space="preserve"> "* Postes
* Grapas 
* Alambre
* Material vegetal forestal 
* Cinta métrica 
* Herramientas
* Mano de obra "</t>
  </si>
  <si>
    <t>- SEMILLAS
- HERRAMIENTA
- MANO DE OBRA
- MALLA</t>
  </si>
  <si>
    <t>- VERMÍFUGOS
- VITAMINAS Y MINERALES
- MANO DE OBRA
- VETERINARIO
- CAPACITACIONES</t>
  </si>
  <si>
    <t>- MALLA
- HERRAMIENTAS
- POSTES 
- MANO DE OBRA
- CAPACITACIÓN
- SEMILLAS
- ABONOS</t>
  </si>
  <si>
    <t>- CAPACITACIÓN
- POSTES MÓVILES
- CERCA ELÉCTRICA
- MANO DE OBRA</t>
  </si>
  <si>
    <t>postes, cerca electrica, arboles, mano de obra, abono.</t>
  </si>
  <si>
    <t>MANEJO PRADERAS Y SUPLEMENTOS</t>
  </si>
  <si>
    <t>ANIMALES</t>
  </si>
  <si>
    <t>Zinc, plástico, postes, tablas, estiércol, materia orgánica, herramienta, mano de obra</t>
  </si>
  <si>
    <t>"* Modelos de registros de contables y de costos
* Capacitaciones en diligenciamieno e interpretacipon de registros contables y de costos"</t>
  </si>
  <si>
    <t>"* Construir compostera 
 * Asistir a capacitaciones 
 * Materia orgánica para compostar "</t>
  </si>
  <si>
    <t>* Postes
 * Grapas 
 * Alambre
 * Material vegetal forestal 
 * Cinta métrica 
 * Herramientas
 * Mano de obra</t>
  </si>
  <si>
    <t>INDICADOR 4</t>
  </si>
  <si>
    <t>21. NÚMERO DE POTREROS</t>
  </si>
  <si>
    <t>29. REGISTROS TÉCNICOS Y REPRODUCTIVOS</t>
  </si>
  <si>
    <t xml:space="preserve">21 NÚMERO DE POTREROS FRANJAS Y DIVISIONES) </t>
  </si>
  <si>
    <t>PROBLEMA 4</t>
  </si>
  <si>
    <t xml:space="preserve">En la finca no les dan ninguna utilidad a los subproductos agropecuarios para su compostaje. 	</t>
  </si>
  <si>
    <t xml:space="preserve">"El número de divisiones de potreros destinados al pastoreo de bovinos es menor a 5. 
No hay suficientes divisiones para una correcta rotación de praderas. "	"
</t>
  </si>
  <si>
    <t xml:space="preserve">Hace uso de herbicidas y pesticidas de la lista de la docena sucia y usa insumos de la categoría toxicológica I Y II      
 </t>
  </si>
  <si>
    <t xml:space="preserve">El número de divisiones de potreros destinados al pastoreo de bovinos es menor a 5.  
No hay suficientes divisiones para una correcta rotación de praderas.  
</t>
  </si>
  <si>
    <t xml:space="preserve">La tasa de mortalidad es mayor al 10% anual 
</t>
  </si>
  <si>
    <t>LOS POTREROS NO TIENEN CERCAS VIVAS</t>
  </si>
  <si>
    <t>NO HAY DIVISIONES, LAS PRADERAS SON MANEJADAS DE MANERA EXTENSIVA</t>
  </si>
  <si>
    <t>LOS LINDEROS ESTÁN DESPROVISTOS DE ÁRBOLES</t>
  </si>
  <si>
    <t>TIENE EL POTRERO A PASTOREO EXTENSIVO (UN SOLO POTRERO EN LAS 4 HECTÁREAS)</t>
  </si>
  <si>
    <t>NO TIENE REGISTRADOS LOS EVENTOS PRESENTADOS EN LA EXPLOTACIÓN PECUARIA</t>
  </si>
  <si>
    <t>Solo hay 1 potrero para el manejo de los animales</t>
  </si>
  <si>
    <t>INTERVALO MAYOR A 15 MESES</t>
  </si>
  <si>
    <t>No existen divisiones de potreros suficintes para pastoreo rotacional</t>
  </si>
  <si>
    <t xml:space="preserve">El número de divisiones de potreros destinados al pastoreo de bovinos es menor a 5. 
No hay suficientes divisiones para una correcta rotación de praderas. </t>
  </si>
  <si>
    <t xml:space="preserve">La finca solo cuenta con presencia de monocultivo de praderas, es decir, no existen arreglos espaciales que integren policultivos y agroforestería en multiestrato. </t>
  </si>
  <si>
    <t>"El número de divisiones de potreros destinados al pastoreo de bovinos es menor a 5. 
No hay suficientes divisiones para una correcta rotación de praderas. "</t>
  </si>
  <si>
    <t xml:space="preserve">El intérvalo entre partos promedio es mayor o igual a 21 meses	"* Velar por mantener condiciones nutricionales óptimas </t>
  </si>
  <si>
    <t>Existen pocas divisiones de potrero con muchos dias de ocupación</t>
  </si>
  <si>
    <t>Solo hay 3 divisiones de potreros</t>
  </si>
  <si>
    <t>Ausencia de registros técnicos y reproductivos</t>
  </si>
  <si>
    <t>Solo hay 6 DIVISIONES de potrero para el manejo de los animales</t>
  </si>
  <si>
    <t>El predio no cuenta con el numero de divisiones requeridas para la rotación de praderas</t>
  </si>
  <si>
    <t xml:space="preserve">No existe aprovechamiento de estiércol bovino </t>
  </si>
  <si>
    <t>La finca solo cuenta con presencia de monocultivo de praderas, es decir, no existen arreglos espaciales que integren policultivos y agroforestería en multiestratos.</t>
  </si>
  <si>
    <t xml:space="preserve">No hay aprovechamiento de subproductos de cosecha </t>
  </si>
  <si>
    <t xml:space="preserve">La carga animal es baja para lo que puede producir </t>
  </si>
  <si>
    <t xml:space="preserve">No cuenta con suficientes potreros para rotación </t>
  </si>
  <si>
    <t>NO TIENEN MANEJO DE AGUAS RESIDUALES</t>
  </si>
  <si>
    <t>POCOS POTREROS</t>
  </si>
  <si>
    <t>NO TIENE REGISTROS TÉCNICOS Y REPRODUCTIVOS DE LA EXPLOTACIÓN LECHERA</t>
  </si>
  <si>
    <t>POCOS POTREROS PARA EXTENSIÓN DE TERRENO</t>
  </si>
  <si>
    <t>NO LLEVA REGISTRO DE LAS ACTIVIDADES QUE SE PRESENTAN EN LA FINCA</t>
  </si>
  <si>
    <t>NO REGISTRA LAS ACTIVIDADES REALIZADAS EN LA UNIDAD PRODUCTIVA</t>
  </si>
  <si>
    <t>Solo hay 4 DIVISIONES de potrero para el manejo de los animales</t>
  </si>
  <si>
    <t>PORCENTAJE DE MORTALIDAD</t>
  </si>
  <si>
    <t xml:space="preserve">No se producen alimentos para el autoconsumo familiar </t>
  </si>
  <si>
    <t>En la finca no les dan ninguna utilidad a los subproductos agropecuarios para su compostaje.</t>
  </si>
  <si>
    <t>"El número de divisiones de potreros destinados al pastoreo de bovinos es menor a 5. 
 No hay suficientes divisiones para una correcta rotación de praderas. "</t>
  </si>
  <si>
    <t>ACTIVIDADES CORRECTIVAS 4</t>
  </si>
  <si>
    <t xml:space="preserve">"* Realizar compostera 
* Separación de residuos orgánicos en la fuente 
* Recolección de estiercol bovino 
* Capacitaciones </t>
  </si>
  <si>
    <t xml:space="preserve">* Diseño de division de potreros teniendo en cuenta el periodo de recuperación de los pastos y forrajes Y la conectividad entre relictos de bosque, bosques primarios y/o vegetación . 
</t>
  </si>
  <si>
    <t xml:space="preserve">* Suspender el uso de herbicidas y pesticidas de la lista de la docena sucia, así como los insumos con categorías toxicológicas I y II        </t>
  </si>
  <si>
    <t xml:space="preserve">* Diseño de división de potreros teniendo en cuenta el periodo de recuperación de los pastos y forrajes Y la conectividad entre relictos de bosque, bosques primarios y/o vegetación.  
</t>
  </si>
  <si>
    <t xml:space="preserve">* Acogerse al plan de vacunación oficial vigente
* Prestar atenciones necesarias a los recien nacidos 
* Aislar y proteger humedales
* Mantener libres los animales de hambre, sed y enfermedades
</t>
  </si>
  <si>
    <t xml:space="preserve">- SIEMBRA DE ÁRBOLES EN EL PERÍMETRO DEL PREDIO
</t>
  </si>
  <si>
    <t>- COMENZAR A PLANEAR LA DIVISIÓN DE LAS PRADERAS
- DIVISIÓN DE LA PRADERA</t>
  </si>
  <si>
    <t>- SEMBRAR ÁRBOLES DE ESPECIES NATIVAS E INTRODUCIDAS EN LOS LINDEROS</t>
  </si>
  <si>
    <t>- PLANEAR LA FORMA DE ROTACIÓN
- REALIZAR AFOROS
- CONDUCIR EL AGUA A CADA POTRERO</t>
  </si>
  <si>
    <t>- IMPLEMENTAR LOS REGISTROS TÉCNICOS (PESAJE, NUTRICIÓN, ROTACIÓN, COMPRA, VENTAS, ETC)</t>
  </si>
  <si>
    <t>Realizar planificación de praderas y divisiones de potrero</t>
  </si>
  <si>
    <t>DETECCION DE CELO</t>
  </si>
  <si>
    <t>Identificar parches de bosques en el predio o en los aledaños para favorecer conectividad biologica</t>
  </si>
  <si>
    <t xml:space="preserve">* Diseño de división de potreros teniendo en cuenta el periodo de recuperación de los pastos y forrajes Y la conectividad entre relictos de bosque, bosques primarios y/o vegetación. </t>
  </si>
  <si>
    <t>* Implementar subsistemas productivos agrícolas, pecuarios y forestales 
* Realizar arreglos espaciales forestales (Sistemas Silvopastoriles Intensivos)</t>
  </si>
  <si>
    <t xml:space="preserve">* Diseño de división de potreros teniendo en cuenta el periodo de recuperación de los pastos y forrajes Y la conectividad entre relictos de bosque, bosques primarios y/o vegetación . </t>
  </si>
  <si>
    <t>* Reciclar residuos inorgánicos
* Realizar triple lavado a residuos a empaques de insumos químicos  
* Reutilizar residuos inorgánicos no tóxicos. 
* Realizar separación de residuos sólidos en la fuente 
* Asistir a capacitaciones</t>
  </si>
  <si>
    <t>"* Diseño de division de potreros teniendo en cuenta el periodo de recuperación de los pastos y forrajes Y la conectividad entre relictos de bosque, bosques primarios y/o vegetación . 
"</t>
  </si>
  <si>
    <t>*Suministrar minerales y microelementos necesarios para la recuperación postparto, con el fin de que se asegure la  preñez en al menos 3 meses después del parto.</t>
  </si>
  <si>
    <t xml:space="preserve">Implementar modelo de registros técnicos y reproductivos </t>
  </si>
  <si>
    <t>Iniciar con el registro de informacion</t>
  </si>
  <si>
    <t>Destinar un área para levante, destinar área para producción y realizar diseño de rotación de praderas</t>
  </si>
  <si>
    <t xml:space="preserve">Realizar compostera. 
Aprovechar el estiércol bovino para hacer compost </t>
  </si>
  <si>
    <t>"* Implementar subsistemas productivos agrícolas, pecuarios y forestales 
* Realizar arreglos espaciales forestales (Sistemas Silvopastoriles Intensivos)</t>
  </si>
  <si>
    <t xml:space="preserve">diversificar la producción, realizar compostera </t>
  </si>
  <si>
    <t xml:space="preserve">Realizar aforos, separar ganadería por edades/consumo </t>
  </si>
  <si>
    <t xml:space="preserve">Realizar diseño de rotación de praderas e implementar pastoreo rotacional </t>
  </si>
  <si>
    <t>MANEJAR ADECUADAMENTE LAS AGUAS RESIDUALES</t>
  </si>
  <si>
    <t>REALIZAR MAS DIVISIONES DE POTRERO</t>
  </si>
  <si>
    <t>REALIZAR MAS  DIVISIONES D EPOTREROS</t>
  </si>
  <si>
    <t>REALIZAR MAS DIVISIONES DE POTREROS</t>
  </si>
  <si>
    <t>- REGISTRAR TODOS LOS EVENTOS PRESENTADOS EN LA EXPLOTACIÓN LECHERA (PRODUCCIÓN, PESAJE, REPRODUCCIÓN, ETC)</t>
  </si>
  <si>
    <t>- PLANEAR LA DIVISIÓN DE LA PRADERA
- ALISTAR MATERIALES PARA DIVISIONES Y CERCAR</t>
  </si>
  <si>
    <t>- REGISTRAR ACTIVIDADES DE LA UNIDAD PRODUCTIVA (PRODUCCIÓN, PESAJE, ROTACIÓN, REPRODUCCIÓN)</t>
  </si>
  <si>
    <t>- REGISTRAR TODO TIPO DE ACTIVIDADES HECHAS EN LA FINCA (PRODUCCIÓN, PESAJE, ROTACIÓN, REPRODUCCIÓN)</t>
  </si>
  <si>
    <t>Realizar 4 divisiones en cada lote</t>
  </si>
  <si>
    <t>LLEVAR REGISTROS</t>
  </si>
  <si>
    <t>MEJORAR MANEJO DE POTREROS</t>
  </si>
  <si>
    <t>MEJORAR CONDICIONES NUTRICIONALES</t>
  </si>
  <si>
    <t xml:space="preserve">Realizar huerto familiar con cultivos de pancoger </t>
  </si>
  <si>
    <t>* Realizar compostera 
 * Separación de residuos orgánicos en la fuente 
 * Recolección de estiercol bovino 
 * Capacitaciones</t>
  </si>
  <si>
    <t>"* Diseño de division de potreros teniendo en cuenta el periodo de recuperación de los pastos y forrajes Y la conectividad entre relictos de bosque, bosques primarios y/o vegetación . 
 "</t>
  </si>
  <si>
    <t>TIEMPO 4</t>
  </si>
  <si>
    <t xml:space="preserve">
6 meses        </t>
  </si>
  <si>
    <t xml:space="preserve">6 meses	</t>
  </si>
  <si>
    <t>4 MESES</t>
  </si>
  <si>
    <t>6MESE</t>
  </si>
  <si>
    <t>1año</t>
  </si>
  <si>
    <t xml:space="preserve"> 	
"	1 año	"</t>
  </si>
  <si>
    <t>RECURSOS NECESARIOS 4</t>
  </si>
  <si>
    <t>* Diseño de division de potreros
* Levantamiento planimétrico
* Cartografía social 
* Cinta métrica
* Material vegetal forestal 
* Herramientas
* Mano de obra "</t>
  </si>
  <si>
    <t xml:space="preserve">
* Recipiente para la correcta disposición final de los empaques de este tipo de insumos. </t>
  </si>
  <si>
    <t xml:space="preserve">* Diseño de división de potreros 
 * Levantamiento planimétrico 
 * Cartografía social  
* Cinta métrica 
 * Material vegetal forestal  
* Herramientas 
 * Mano de obra  
</t>
  </si>
  <si>
    <t xml:space="preserve">
* Registro único de vacunación vigente 
* Medicamentos veterinarios 
* Postes/grapas/alambre de púa
* Bebederos limpios 
* Saladeros limpios
* Asegurar consumo de forraje verde diario correspondiente al 15% del PV"</t>
  </si>
  <si>
    <t>- PLÁNTULAS DE ALISOS, EUCALIPTOS, ESPECIES NATIVAS
-POSTES 
- ALAMBRE
- MANO DE OBRA</t>
  </si>
  <si>
    <t>-POSTES
- ALAMBRE
- MANO DE OBRA</t>
  </si>
  <si>
    <t>- ALAMBRE DE PÚAS
- CERCA ELÉCTRICA
- MANO DE OBRA
- PLÁNTULAS</t>
  </si>
  <si>
    <t>- CINTA ELÉCTRICA
- POSTES MÓVILES
- MANO DE OBRA
-  MANGUERA
- MANGUERAS
- BEBEROS</t>
  </si>
  <si>
    <t>- CUADERNO
 - LAPICERO</t>
  </si>
  <si>
    <t>Postes, Cerca electrica, grapas, mano de obra</t>
  </si>
  <si>
    <t>Capacitación, Punto ecológico y canecas</t>
  </si>
  <si>
    <t>Diseñar división de potreros
Cerca eléctrica, cerca viva</t>
  </si>
  <si>
    <t xml:space="preserve">* Diseño de división de potreros
* Levantamiento planimétrico
* Cartografía social 
* Cinta métrica
* Material vegetal forestal 
* Herramientas
* Mano de obra </t>
  </si>
  <si>
    <t xml:space="preserve">* Diseño y distribución de subsistemas 
* Semillas 
* Material vegetal forestal
* Infraestructura agropecuaria 
* Herramientas
* Mano de obra </t>
  </si>
  <si>
    <t xml:space="preserve">* Punto ecológico
* Compostera 
* Área de lavado de empaques de insumos químicos </t>
  </si>
  <si>
    <t>"* Diseño de division de potreros
* Levantamiento planimétrico
* Cartografía social 
* Cinta métrica
* Material vegetal forestal 
* Herramientas
* Mano de obra "</t>
  </si>
  <si>
    <t>* Suministro de sal mineralizada
* Ganancia diaria de peso igual o superior a  900g 
* Seguimiento al celo 
* Disponibilidad toro para monta 
* Inseminación Artificial a Tiempo Fijo y Hormonas (Progesterona) - si se requiere.</t>
  </si>
  <si>
    <t>Planificacion de praderas, cerca eléctrica, mano de obra.</t>
  </si>
  <si>
    <t>Planificacion de praderas, cerca eléctrica, postes, mano de obra.</t>
  </si>
  <si>
    <t xml:space="preserve">Formato de registros técnicos y reproductivos y capacitaciones </t>
  </si>
  <si>
    <t>Formatos, capacitación, mano de obra, aforo, cinta de pesaje</t>
  </si>
  <si>
    <t>Postes, alambre y grapas</t>
  </si>
  <si>
    <t>Compostera, baldes, palines</t>
  </si>
  <si>
    <t>* Diseño y distribución de subsistemas 
* Semillas 
* Material vegetal forestal
* Infraestructura agropecuaria 
* Herramientas
* Mano de obra "</t>
  </si>
  <si>
    <t>aforos, pastoreo rotacional, division de potreros</t>
  </si>
  <si>
    <t xml:space="preserve">levantamiento planimétrico, diseño de divisiones de potreros </t>
  </si>
  <si>
    <t>HERRAMIENTAS Y DRENAJES</t>
  </si>
  <si>
    <t>POSTES, ALAMBRE, GRAPAS</t>
  </si>
  <si>
    <t>POSTES,ALAMBRE,HERRAMIENTAS,MANO DE OBRA</t>
  </si>
  <si>
    <t>- POSTES 
- ALAMBRES
- CERCA ELÉCTRICA
MANO DE OBRA</t>
  </si>
  <si>
    <t>- CUADERNO
- LAPICERO
- CAPACITACIÓN</t>
  </si>
  <si>
    <t>Postes, Cerca electrica, grapas, mano de obra, hillo electrico.</t>
  </si>
  <si>
    <t>CUADERNO, LAPICERO</t>
  </si>
  <si>
    <t>MANEJO DE PRADERAS, ANIMALES</t>
  </si>
  <si>
    <t>RESGUARDAR Y NUTRICION</t>
  </si>
  <si>
    <t>Semillas, malla, palin, machete, mano de obra, etc</t>
  </si>
  <si>
    <t>* Zinc o plástico
 * Postes
 * Alambre dulce
 * Puntillas 
 * Herramientas
 * Baldes / costales
 * Mano de obra</t>
  </si>
  <si>
    <t>"* Diseño de division de potreros
 * Levantamiento planimétrico
 * Cartografía social 
 * Cinta métrica
 * Material vegetal forestal 
 * Herramientas
 * Mano de obra "</t>
  </si>
  <si>
    <t>INDICADOR 5</t>
  </si>
  <si>
    <t>ALISO NATIVOS</t>
  </si>
  <si>
    <t>PROBLEMA 5</t>
  </si>
  <si>
    <t xml:space="preserve">
"El número de divisiones de potreros destinados al pastoreo de bovinos es menor a 5. 
No hay suficientes divisiones para una correcta rotación de praderas. "	</t>
  </si>
  <si>
    <t xml:space="preserve">
No se toma ninguna información, registro y análisis de datos técnicos que se generan en las actividades agropecuarias en la finca 	"</t>
  </si>
  <si>
    <t xml:space="preserve">En la finca no les dan ninguna utilidad a los subproductos agropecuarios para su compostaje.         </t>
  </si>
  <si>
    <t xml:space="preserve">El peso promedio de todas las UGG en pastoreo es menor a 0.6 UGG/Ha 
</t>
  </si>
  <si>
    <t>QUIERE AISLAR BOSQUE Y MEJORAR PROTECCION DE AGUAS</t>
  </si>
  <si>
    <t xml:space="preserve">No se toma ninguna información, registro y análisis de datos técnicos que se generan en las actividades agropecuarias en la finca 	"
</t>
  </si>
  <si>
    <t>Bajo porcentaje de cercos vivos en diseño SSP</t>
  </si>
  <si>
    <t>NO HAY BUENA PRODUCCION DE LITROS DE LECHE HECTAREA/AÑO</t>
  </si>
  <si>
    <t xml:space="preserve">La tasa de mortalidad es mayor al 10% anual </t>
  </si>
  <si>
    <t xml:space="preserve">No se toma ninguna información, registro y análisis de datos técnicos que se generan en las actividades agropecuarias en la finca </t>
  </si>
  <si>
    <t>No se toma ninguna información, registro y análisis de datos técnicos que se generan en las actividades agropecuarias en la finca</t>
  </si>
  <si>
    <t xml:space="preserve">No se toma ninguna información, registro y análisis de datos técnicos que se generan en las actividades agropecuarias en la finca 	"* Implementar modelo de registro de datos técnicos y reproductivos </t>
  </si>
  <si>
    <t xml:space="preserve">Ausencia de registros técnicos y reproductivos </t>
  </si>
  <si>
    <t>No existen divisiones suficientes para la rotación de praderas</t>
  </si>
  <si>
    <t>No se toma ninguna información, registro y análisis de datos técnicos que se generan en las actividades agropecuarias en la finca 	"</t>
  </si>
  <si>
    <t>REQUIERE CERCAS VIVAS EN DIVISION DE POTREROS Y LINDEROS</t>
  </si>
  <si>
    <t>El número de divisiones de potreros destinados al pastoreo de bovinos es menor a 5. 
 No hay suficientes divisiones para una correcta rotación de praderas.</t>
  </si>
  <si>
    <t>ACTIVIDADES CORRECTIVAS 5</t>
  </si>
  <si>
    <t xml:space="preserve">"* Diseño de division de potreros teniendo en cuenta el periodo de recuperación de los pastos y forrajes Y la conectividad entre relictos de bosque, bosques primarios y/o vegetación . 
</t>
  </si>
  <si>
    <t xml:space="preserve">
* Implementar modelo de registro de datos técnicos y reproductivos 
* Analizar la información generada para mejorar el proceso de toma de deciciones de manejo del hato ganadero. </t>
  </si>
  <si>
    <t xml:space="preserve">
* Realizar compostera 
* Separación de residuos orgánicos en la fuente 
* Recolección de estiercol bovino 
* Capacitaciones "        </t>
  </si>
  <si>
    <t xml:space="preserve">* Aprovechamiento del forraje verde disponible de acuerdo a la capacidad de carga  
* Aforo de praderas 
 * Estimación de las UGG previo al periodo de ocupación de praderas 
</t>
  </si>
  <si>
    <t xml:space="preserve">* Implementar modelo de registro de datos técnicos y reproductivos 
* Analizar la información generada para mejorar el proceso de toma de deciciones de manejo del hato ganadero. "
</t>
  </si>
  <si>
    <t>Siembra de arboles en SSP para cercos vivos</t>
  </si>
  <si>
    <t xml:space="preserve">Realizar recolección periodica de estiercol bovino, subproductos y residuos de cosecha de fresa para su compostaje </t>
  </si>
  <si>
    <t>HACER UNA MEJOR CONSERVACION DE SUELOS</t>
  </si>
  <si>
    <t>* Acogerse al plan de vacunación oficial vigente
* Prestar atenciones necesarias a los recién nacidos 
* Aislar y proteger humedales
* Mantener libres los animales de hambre, sed y enfermedades</t>
  </si>
  <si>
    <t xml:space="preserve">* Implementar modelo de registro de datos técnicos y reproductivos 
* Analizar la información generada para mejorar el proceso de toma de decisiones de manejo del hato ganadero. </t>
  </si>
  <si>
    <t>* Diseño de división de potreros teniendo en cuenta el periodo de recuperación de los pastos y forrajes Y la conectividad entre relictos de bosque, bosques primarios y/o vegetación</t>
  </si>
  <si>
    <t>"* Implementar modelo de registro de datos técnicos y reproductivos 
* Analizar la información generada para mejorar el proceso de toma de deciciones de manejo del hato ganadero. "</t>
  </si>
  <si>
    <t>* Analizar la información generada para mejorar el proceso de toma de deciciones de manejo del hato ganadero. "</t>
  </si>
  <si>
    <t>Implementar modelo de registros técnicos y reproductivos  y diligenciar periodicamente.</t>
  </si>
  <si>
    <t>Implementar registros técnicos y reproductivos proporcionados en talleres</t>
  </si>
  <si>
    <t xml:space="preserve">Manejar lotes de ganado segun la edad y consumo de forraje verde </t>
  </si>
  <si>
    <t xml:space="preserve">* Implementar modelo de registro de datos técnicos y reproductivos 
* Analizar la información generada para mejorar el proceso de toma de deciciones de manejo del hato ganadero. "     </t>
  </si>
  <si>
    <t xml:space="preserve">Implementación de formatos y modelo de registros </t>
  </si>
  <si>
    <t>* Implementar modelo de registro de datos técnicos y reproductivos 
 * Analizar la información generada para mejorar el proceso de toma de deciciones de manejo del hato ganadero.</t>
  </si>
  <si>
    <t>"* Implementar modelo de registro de datos técnicos y reproductivos 
 * Analizar la información generada para mejorar el proceso de toma de deciciones de manejo del hato ganadero. "</t>
  </si>
  <si>
    <t>TIEMPO 5</t>
  </si>
  <si>
    <t xml:space="preserve">
6 meses	
</t>
  </si>
  <si>
    <t xml:space="preserve">6 meses 
</t>
  </si>
  <si>
    <t>3 meses</t>
  </si>
  <si>
    <t>1 a 6 meses</t>
  </si>
  <si>
    <t xml:space="preserve">   6 meses        "</t>
  </si>
  <si>
    <t>5 meses</t>
  </si>
  <si>
    <t>RECURSOS NECESARIOS 5</t>
  </si>
  <si>
    <t xml:space="preserve">* Modelo de regristro de datos técnicos y reproductivos. 
* Capacitaciones para la correcta interpretación de los registros técnicos y reproductivos </t>
  </si>
  <si>
    <t xml:space="preserve">
* Zinc o plástico
* Postes
*  Alambre dulce
* Puntillas 
* Herramientas
* Baldes / costales
* Mano de obra </t>
  </si>
  <si>
    <t>* Forraje verde disponible y en óptimas condiciones de pastoreo 
 * Tijeras para aforo  
* Tijeras para aforo  
* Gramera 
 * Tubo pvc 1/2 in 
 * Codos pvc 1/2 in 
 * Cinta de pesaje bovino  
* Capacitaciones</t>
  </si>
  <si>
    <t xml:space="preserve">
* Modelo de regristro de datos técnicos y reproductivos. 
* Capacitaciones para la correcta interpretación de los registros técnicos y reproductivos </t>
  </si>
  <si>
    <t>Arboles, aislamiento, abono y Mano de obra</t>
  </si>
  <si>
    <t>Baldes, palas y composteras, microorganismos, mano de obra, melaza, salvado</t>
  </si>
  <si>
    <t>MANO DE OBRA,ARBOLES, PASTOS</t>
  </si>
  <si>
    <t>* Registro único de vacunación vigente 
* Medicamentos veterinarios 
* Postes/grapas/alambre de púa
* Bebederos limpios 
* Saladeros limpios
* Asegurar consumo de forraje verde diario correspondiente al 15% del PV</t>
  </si>
  <si>
    <t xml:space="preserve">* Modelo de registro de datos técnicos y reproductivos. 
* Capacitaciones para la correcta interpretación de los registros técnicos y reproductivos </t>
  </si>
  <si>
    <t>* Diseño de división de potreros
* Levantamiento planimétrico
* Cartografía social 
* Cinta métrica
* Material vegetal forestal 
* Herramientas
* Mano de obra</t>
  </si>
  <si>
    <t>"* Modelo de regristro de datos técnicos y reproductivos. 
* Capacitaciones para la correcta interpretación de los registros técnicos y reproductivos 
"</t>
  </si>
  <si>
    <t xml:space="preserve">Formato de registros técnicos y reproductivos, lapicero y capacitaciones </t>
  </si>
  <si>
    <t>Formatos de registros técnicos y reproductivos</t>
  </si>
  <si>
    <t>postes, alambre de púa, cerca electrica o cerca viva</t>
  </si>
  <si>
    <t>* Modelo de regristro de datos técnicos y reproductivos. 
* Capacitaciones para la correcta interpretación de los registros técnicos y reproductivos 
"</t>
  </si>
  <si>
    <t>Formato de modelos de registros técnicos y reproductivos. 
Capacitaciones</t>
  </si>
  <si>
    <t>Formatos, cuaderno, capacitación, mano de obra, aforo, cinta de pesaje</t>
  </si>
  <si>
    <t>* Modelo de regristro de datos técnicos y reproductivos. 
 * Capacitaciones para la correcta interpretación de los registros técnicos y reproductivos</t>
  </si>
  <si>
    <t>"* Modelo de regristro de datos técnicos y reproductivos. 
 * Capacitaciones para la correcta interpretación de los registros técnicos y reproductivos 
 "</t>
  </si>
  <si>
    <t>INDICADOR 6</t>
  </si>
  <si>
    <t>LECHERO,ALISO NATIVOS</t>
  </si>
  <si>
    <t>NATIVOS</t>
  </si>
  <si>
    <t>NATIVOS ALISOS LECHERO</t>
  </si>
  <si>
    <t>ALISOS</t>
  </si>
  <si>
    <t>Aliso, acacia japonesa. Nativos</t>
  </si>
  <si>
    <t>Aliso, Pino Patula</t>
  </si>
  <si>
    <t xml:space="preserve">Aliso, </t>
  </si>
  <si>
    <t>Aliso, Tilo, eucalipto o pino patula</t>
  </si>
  <si>
    <t>Aliso, Acacia japonesa, pino patula</t>
  </si>
  <si>
    <t>ALISO</t>
  </si>
  <si>
    <t>ALISO , MADERABLES</t>
  </si>
  <si>
    <t>EUCALIPTO,ACASIA,ALISO</t>
  </si>
  <si>
    <t>ACASIA,PINO,ALISO</t>
  </si>
  <si>
    <t>ACASIA,PINO,EUCALIPTO, ALISO,NACEDERO</t>
  </si>
  <si>
    <t>ACASIA</t>
  </si>
  <si>
    <t>NATIVOS EUCALIPTO</t>
  </si>
  <si>
    <t>ACACIA NATIVOS</t>
  </si>
  <si>
    <t>ACACIA TILO NATIVOS</t>
  </si>
  <si>
    <t>ACACIAS TILO NATIVOS</t>
  </si>
  <si>
    <t>NATIVOS ACACIAS</t>
  </si>
  <si>
    <t>ACACIA, CIPRÉS, ALISO, CARBONERO</t>
  </si>
  <si>
    <t>ACACIA, ALISO, CARBONERO, PINO, EUCALIPTO</t>
  </si>
  <si>
    <t>CARBONEROS, ACACIAS, ALISOS</t>
  </si>
  <si>
    <t>PROBLEMA 6</t>
  </si>
  <si>
    <t>AISLAR BOSQUE Y QUEBRADA. HACER CERCAS VIVAS EN LINDEROS</t>
  </si>
  <si>
    <t>AISLAMIENTO DE BOSQUE Y HUMEDALES, CERCAS VIVAS SE DEBEN CONCERTAR POR ROTACION DE CULTIVOS</t>
  </si>
  <si>
    <t>AISLAMIENTO DE BOSQUES, CERCAS VIVAS EN LINDEROS, ROTACION DE CULTIVOS</t>
  </si>
  <si>
    <t>REFORZAR CERCAS DE AISLAMIENTO CERCAS VIVAS EN TRE POTRERO Y POTRERO</t>
  </si>
  <si>
    <t>AISLAR NACEDEROS Y BARREAS VIVAS EN DIFERENTES AREAS DE LA FINCA</t>
  </si>
  <si>
    <t>DEFINIR CERCAS VIVAS ALTERNA LA CEBA DE GANADO CON CULTIVOS DE PAPA</t>
  </si>
  <si>
    <t>CERCAS VIVAS Y BARRERAS DE VIENTO SE DEBE DEFINIR ALTERNA CON CULTIVOS DE FRESA</t>
  </si>
  <si>
    <t>CEBA GANADO,CERCAS VIVAS BARRERAS DE VIENTO REFORZAR AISLAMIENTOS</t>
  </si>
  <si>
    <t>CEBA GANADO,SE DEBEN AISLAR DIFERENTES AREAS DE BOSQUE Y BARRERAS DE VIENTO</t>
  </si>
  <si>
    <t>BARRERAS VIVAS Y DIVISION DE POTREROS CON ARBOLES Y REFORZAR AREAS DE AISLAMIENTO</t>
  </si>
  <si>
    <t>LA FINCA CUENTA CON AISLAMIENTO DE BOSQUES Y ZONAS PROTEGUIDAS REFORZAR NUMERO DE ARBOLES EN LAS AREAS YA PROTEGUIDAS</t>
  </si>
  <si>
    <t xml:space="preserve">BARRERAS DE VIENTO, AISLAR ZONAS DE BOSQUE </t>
  </si>
  <si>
    <t>AISLAR ZONAS DE BOSQUE Y DE AGUAS</t>
  </si>
  <si>
    <t>El aliado propone realizar el aislamiento sobre la quebrada Caribe y zonas de ladera donde presenta deslizamiento de tierra, sobre area de afloramiento de agua que esta ubicado en la parte baja del predio. Realizar divisiones de potrero en curvas de nivel de acuerdo a la planificacion forrajera</t>
  </si>
  <si>
    <t>El aliado desea sembrar arboles en el lindero del predio y zona de ladera en la parte alta del predio. Propone realizar el aislamiento de zona de afloramiento de agua y humedal.</t>
  </si>
  <si>
    <t>La Sra Bertha propone sembrar arboles en las divisiones de potrero y linderos. Se propone sembrar y aislar la zona de la quebrada que esta en la parte baja de la finca sobre el lindero.</t>
  </si>
  <si>
    <t>El Señor Tomas Ruiz manifiesta el interes de realizar aislamiento de la zona de bosque ubicada en la parte alta del predio. Realizar la siembra de arboles en baja densidad. Se propone establecer un SSP en la zona pendiente y al mismo tiempo hacer divisiones de potrero. Se propone la elaboracion de huerta casera cerca ala vivienda.</t>
  </si>
  <si>
    <t>El aliado propone realizar alismaniento de alforamientos de agua y relicto de bosque en la parte alta del predio, implementar cerca viva alrededor del cause de las 2 asequias que bajan por la finca y lugar de sendero hacia el pajonal. La huerta casera ser implementa en el lugar de vivienda que esta fuera del predio visitado.</t>
  </si>
  <si>
    <t>AISLAR NACEDEROS Y BOSQUES CERCAS VIVAS EN DIFERENTES AREAS DE LA FINCA</t>
  </si>
  <si>
    <t>CERCAS VIVAS EN DIFERENTES AREAS DE LA FINCA AISLAR NACEDERO Y BOSQUE  EN LINDERO</t>
  </si>
  <si>
    <t>AISLAMIENTO DE BOSQUES CERCAS VIVAS</t>
  </si>
  <si>
    <t>DIVISION DE POTREROS CON CERCAS VIVAS Y AISLAR NACEDEROS</t>
  </si>
  <si>
    <t>Por el predio de la aliada, pasa el rio Quilcace , en varias ocasiones este rio se ha desbordado y ocasionado avalanchas que han causado varias perdidas y daños, por esta razón la aliada desea aislar y realizar una siembra de árboles con especie nativas e introducidas , como por ejemplo el aliso que es una especie que adapta muy bien al clima y al suelo, y además es una especie que aporta muchos beneficios naturales y ambientales, además la aliada busca realizar divisiones con cercas vivas dentro del predio</t>
  </si>
  <si>
    <t>El señor Rubio Alexander Guerrero, tiene en su predio un relicto de bosque natural, que desea aislar, también quiere realizar cercas vivas dentro del predio incluyendo especies forestales nativas e introducidas y además árboles en potrero que ofrezcan sombra y protección del suelo, debido a que se presenta erosión en el suelo, primero por la pendiente que tiene y el pastoreo de los animales.</t>
  </si>
  <si>
    <t>El predio el porvenir, se encuentra ubicado cerca al rio Flautas, y por el predio pasa una pequeña quebrada que desemboca en este rio, el aliado desea aislar la quebrada y sembrar arboles a la orilla del rio para prevenir desastres naturales, debido a que en este año el rio daño la carretera lo cual los dejo incomunicados por algunos días, también el aliado pretende realizar división con cercas vivas.</t>
  </si>
  <si>
    <t>Por el predio el Columpio ,pasa una pequeña quebrada , el aliado desea aislar la quebrada y sembrar arboles  en esta quebrada , también el aliado pretende realizar división con cercas vivas con especies forestales nativas e introducidas</t>
  </si>
  <si>
    <t>Por el predio la Maria ,pasa la quebrada el oro ademas se encuentra un  relicto de bosque de roble,el aliado desea aislar la quedrada y el bosque, y ademas realizar division de potreros</t>
  </si>
  <si>
    <t>SEMBRAR CERCAS VIVAS Y LINDEROS</t>
  </si>
  <si>
    <t>CERCAS VIVAS Y AISLAMIENTOS</t>
  </si>
  <si>
    <t>AISLAR FUENTES DE AGUA</t>
  </si>
  <si>
    <t xml:space="preserve">LA SEÑORA RICARDINA MANIFIESTA QUE DESEA IMPLEMENTAR UN SISTEMA DE SIEMBRA PARA REALZAR CERCAS Y BARRERAS VIVAS PARA DIVISIONES DE LOS POTREROS Y LINDEROS DE LA FINCA, ADEMÁS CERCA A LAS FUENTES HÍDRICAS </t>
  </si>
  <si>
    <t xml:space="preserve">SE DESEA IMPLEMENTAR UN SISTEMA DE SIEMBRA PARA REALZAR CERCAS Y BARRERAS VIVAS PARA DIVISIONES DE LOS POTREROS Y LINDEROS DE LA FINCA, ADEMÁS CERCA A LAS FUENTES HÍDRICAS </t>
  </si>
  <si>
    <t>EL SEÑOR EDUARDO DESEA SEMBRAR ÁRBOLES EN LOS POTREROS Y FORTALECER LAS CERCAS VIVAS, YA QUE TIENE SEMBRADAS PLÁNTULAS EN LOS LINDEROS</t>
  </si>
  <si>
    <t>EN EL PREDIO SE DESEA REALIZAR SIEMBRAS EN LAS DIVISIONES DE LOS POTREROS Y EN LOS LINDEROS, TAMBIEN DESEA HACER UNA PLANTACIÓN PARA EXPLOTACIÓN FORESTAL, QUIERE SEMBRAR ÁRBOLES PARA REPOBLAR EL BOSQUE CON A+ESPECIERS NATIVAS</t>
  </si>
  <si>
    <t>EN LA FINCA SE DESEA REALIZAR UNAS BARRERAS ROMPEVIENTOS PARA DISMINUIR LA VELOCIDAD DEL VIENTO QUE AFECTA LAS PRADERAS, LAS CONSTRUCCIONES, ETC.</t>
  </si>
  <si>
    <t>EL SEÑOR DANILO DESEA HACER BARRERAS ROMPEVIENTOS CON ARBOLES NATIVOS PARA DISMINUIR LA VELOCIDAD DEL VIENTO QUE AFECTA LAS PRADERAS, LAS CONSTRUCCIONES, ETC.</t>
  </si>
  <si>
    <t>DIVISION DE POTREROS CON CERCA VIVA</t>
  </si>
  <si>
    <t>DEFINIR CERCAS VIVAS POR QUE ALTERNA CULTIVOS DE FRESA. ENRIQUESER BOSQUE DE ALISOS</t>
  </si>
  <si>
    <t>AISLAR BOSQUE EN LA PARTEA ALTA Y CERCAS VIVAS</t>
  </si>
  <si>
    <t>DISEÑO DE DIVISION DE POTREROS Y CERCAS VIVAS Y AISLAR QUEBRADA CON ARBOLES</t>
  </si>
  <si>
    <t>REFOEZAR ZONA DE BOSQUE Y NACEDERO YA TIENE AISLAMIENTO, CERCAS VIVAS EN POTREROS</t>
  </si>
  <si>
    <t>ACTIVIDAD CORRECTIVA 6</t>
  </si>
  <si>
    <t>TIEMPO 6</t>
  </si>
  <si>
    <t>MATERIAL VEGETAL</t>
  </si>
  <si>
    <t>ALISOS ACACIA</t>
  </si>
  <si>
    <t>ALISO, ACACIA</t>
  </si>
  <si>
    <t>NATIVOS ACACIA</t>
  </si>
  <si>
    <t>Acacia, aliso, pino</t>
  </si>
  <si>
    <t>Eucalipto, aliso, acacia,</t>
  </si>
  <si>
    <t>Aliso, acacia, carbonero</t>
  </si>
  <si>
    <t>ACACIA, CIPRÉS, EUCALIPTO, ALISO, CARBONERO</t>
  </si>
  <si>
    <t>ACACIA, ALISO, CARBONERO</t>
  </si>
  <si>
    <t>Aliso y nativos. Pino</t>
  </si>
  <si>
    <t>Aliso y Acacia Japonesa</t>
  </si>
  <si>
    <t>Aliso, Arrayan, tilo, sauco</t>
  </si>
  <si>
    <t>RESEÑA</t>
  </si>
  <si>
    <t>AISLAR CON CERCAS HUMEDALES Y FUENTES HIDRICAS</t>
  </si>
  <si>
    <t>AISLAR BOSQUE</t>
  </si>
  <si>
    <t>AISLAR HUMEDAL LINDERO Y QUEBRADA</t>
  </si>
  <si>
    <t>El aliado desea , hacer barreras rompevientos cerca a la casa y barreras vivas en los linderos y las divisiones de potreros</t>
  </si>
  <si>
    <t>el aliado desea sembrar árboles como barreras vivas, en las divisiones de los potreros, en los linderos y cerca alas fuentes de agua</t>
  </si>
  <si>
    <t>Don Arístides desea sembrar estas especies en las divisiones de los potreros como cercas vivas para que también sirvan como sombrío sombrío</t>
  </si>
  <si>
    <t>Don Albeiro desea sembrar estas especies en las divisiones de los potreros como cercas vivas para que también sirvan como sombrío sombrío y en cada potrero sembrar un árbol frondoso en el centro del potrero</t>
  </si>
  <si>
    <t>EL SEÑOR FREDY ANACONA DESEA REALIZAR BARRERAS ROMPEVIENTOS PARA DISMINUIR LA VELOCIDAD DEL VIENTO EN LA CASA Y EN LAS PRADERAS, TAMBIÉN FORTALECER LAS CERCAS VIVAS QUE ESTÁ IMPLEMENTANDO COMO SOMBRÍO PARA LAS VACAS</t>
  </si>
  <si>
    <t>EN LA PARCELA SE DESEA SEMBRAR ÁRBOLES EN LOS LINDEROS Y  DIVISIONES COMO CERCAS VIVAS</t>
  </si>
  <si>
    <t>LA SEÑORA DEYSY DESEA IMPLEMENTAR LA SIEMBRA DE CERCAS VIVAS EN LOS LINDEROS Y EN LAS DIVISIONES DEL POTRERO, TAMBIÉN QUIERE SEMBRAR CERCA DE UN NACIMIENTO DE AGUA</t>
  </si>
  <si>
    <t>El aliado propone sembrar por el lindero del predio. Tiene mas de la mitad del predio en bosque. Propone realizar el aislamiento de la zona alta donde esta la zona de bosque. Se propone hacer siembra de arboles en baja densidad en sentido oriente - occidente. Se propone realizar divisiones de potrero mas pequeñas para el manejo del ganado.</t>
  </si>
  <si>
    <t>El predio cuenta con un area pendiente en la cual se puede proponer la siembra de arboles en arreglo SSP. El aliado propone la siembra de arboles alrededor de las quebradas, humedales y linderos. El ganado rota en dos predios (La Luna y Los Arrayanes de Juan Carlos Guancha Escobar)</t>
  </si>
  <si>
    <t>El aliado se dedica al cultivo de fresa y tiene bovinos al partido con el hermano que tiene un predio enseguida. Se identifica que se puede establecer cercos vivos en el perimetro del predio y las areas de humedal.</t>
  </si>
  <si>
    <t>FECHA DE LA VISITA</t>
  </si>
  <si>
    <t>QUEBRADAS (metros)</t>
  </si>
  <si>
    <t>106.27</t>
  </si>
  <si>
    <t>N° DE QUEBRADAS</t>
  </si>
  <si>
    <t>HUMEDALES (metros)</t>
  </si>
  <si>
    <t>N° DE HUMEDALES</t>
  </si>
  <si>
    <t>NACIMIENTOS (metros)</t>
  </si>
  <si>
    <t>N° DE NACIMIENTO</t>
  </si>
  <si>
    <t>987.66</t>
  </si>
  <si>
    <t>BOSQUE (metros)</t>
  </si>
  <si>
    <t>DIVISIONES DE POTRERO (metros)</t>
  </si>
  <si>
    <t>CORREO DE VOZ</t>
  </si>
  <si>
    <t>JULIO CESAR COLLAZOS</t>
  </si>
  <si>
    <t>Anastacia Santiago</t>
  </si>
  <si>
    <t>ADRIANA ROCIO PERAFÁN</t>
  </si>
  <si>
    <t>Jose Mauricio Zuñiga Coaji</t>
  </si>
  <si>
    <t>Carlos Alberto Coaji</t>
  </si>
  <si>
    <t>MONICA ALEJANDRA VILLOTA</t>
  </si>
  <si>
    <t>ERIKA LORENA QUIRA COAJI</t>
  </si>
  <si>
    <t>CARLOS ARDANI MAPALLO</t>
  </si>
  <si>
    <t>MARIA ALEIDA JALVIN</t>
  </si>
  <si>
    <t xml:space="preserve"> YEIM BRISELDA IDROBO</t>
  </si>
  <si>
    <t>Clinio Coaji Mambuscay</t>
  </si>
  <si>
    <t>Claudia Alicia Noguera Escobar</t>
  </si>
  <si>
    <t>Noralba Guetio Peña</t>
  </si>
  <si>
    <t>Ismaelina Calambas Urbano</t>
  </si>
  <si>
    <t>LINDEROS (metros)</t>
  </si>
  <si>
    <t>Juan Elias Realpe</t>
  </si>
  <si>
    <t>Leonila Castillo</t>
  </si>
  <si>
    <t>No tiene, madre soltera</t>
  </si>
  <si>
    <t xml:space="preserve">Johana </t>
  </si>
  <si>
    <t>Jonathan Tálaga</t>
  </si>
  <si>
    <t>AURA CELIA JIMENEZ</t>
  </si>
  <si>
    <t>CECILIA JIMENEZ</t>
  </si>
  <si>
    <t>DORA DILIA MONTILLA</t>
  </si>
  <si>
    <t>NO CONTESTA</t>
  </si>
  <si>
    <t>RUBIO ALEXANDER GUERRERO</t>
  </si>
  <si>
    <t>SOLTERO</t>
  </si>
  <si>
    <t>Dori Alexandra Bolaños</t>
  </si>
  <si>
    <t>YENI ARCOS</t>
  </si>
  <si>
    <t>GRISELDA IDROBO</t>
  </si>
  <si>
    <t>JOSE BRAVO MUÑOZ</t>
  </si>
  <si>
    <t>ADRIANA MARIA COAJI</t>
  </si>
  <si>
    <t>DRIGELIO SALAZAR AGREDO</t>
  </si>
  <si>
    <t>Jefferson Montenegro</t>
  </si>
  <si>
    <t>Rubi Piamba</t>
  </si>
  <si>
    <t>Mauricio Sanchez</t>
  </si>
  <si>
    <t>COMPOSICION FAMILIAR</t>
  </si>
  <si>
    <t>HIJO</t>
  </si>
  <si>
    <t>MADRE</t>
  </si>
  <si>
    <t>HIJA</t>
  </si>
  <si>
    <t>Hijo</t>
  </si>
  <si>
    <t>Padre</t>
  </si>
  <si>
    <t>Nombres y Apellidos del Conyugue</t>
  </si>
  <si>
    <t>CESAR JULIO RODRIGUEZ</t>
  </si>
  <si>
    <t>JEHOVANY CAMPO</t>
  </si>
  <si>
    <t>YAMITH PALECHOR</t>
  </si>
  <si>
    <t>Faustino Coaji</t>
  </si>
  <si>
    <t>JOSE EDUARDO COLLAZOS</t>
  </si>
  <si>
    <t>MARIA MATILDE GEUESO</t>
  </si>
  <si>
    <t>LUIS CALPA</t>
  </si>
  <si>
    <t>NO TIENE WHATSAPP</t>
  </si>
  <si>
    <t>RUBEN DARIO GUERRERO</t>
  </si>
  <si>
    <t>Juan Bautista Bolaños Narvaez</t>
  </si>
  <si>
    <t>Ana Deiba Fernandez</t>
  </si>
  <si>
    <t>Carmen Elvira Alegria</t>
  </si>
  <si>
    <t>MARIA HELENA RUIZ GAVIRIA</t>
  </si>
  <si>
    <t>FLOR DE MARÍA SAMBONY</t>
  </si>
  <si>
    <t>ESPERANZA ANACONA</t>
  </si>
  <si>
    <t>EDILBER ALVAREZ</t>
  </si>
  <si>
    <t>ARLEY ANCIZAR ANACONA TACUÉ</t>
  </si>
  <si>
    <t>FERNANDO ESCOBAR</t>
  </si>
  <si>
    <t>Hija</t>
  </si>
  <si>
    <t xml:space="preserve">Papá </t>
  </si>
  <si>
    <t>Madre</t>
  </si>
  <si>
    <t>HERMANA</t>
  </si>
  <si>
    <t>NIETA</t>
  </si>
  <si>
    <t>JEFFERSON FABRIANY COLLAZOS ALEGRÍA</t>
  </si>
  <si>
    <t>JULIAN SEBASTIÁN COLLAZOS CARLOSAMA</t>
  </si>
  <si>
    <t>JOSE MANUEL BENAVIDES MARTINEZ</t>
  </si>
  <si>
    <t>NANCY FERNANDEZ GUERRERO</t>
  </si>
  <si>
    <t>SAMY DANIELA FERNANDEZ PERAFAN</t>
  </si>
  <si>
    <t>Kevin Esteban Perafan Valverde</t>
  </si>
  <si>
    <t>SIXTA TULIA MUÑOZ</t>
  </si>
  <si>
    <t>DILAN HERRERA QUIERA</t>
  </si>
  <si>
    <t>LIZETH YULIANA MAPALLO G</t>
  </si>
  <si>
    <t>RICARDO MAPALLO JALVIN</t>
  </si>
  <si>
    <t>LUISA VALENTINA URBANO</t>
  </si>
  <si>
    <t>Cristian Leonel Rivera</t>
  </si>
  <si>
    <t>Lina Maria Salazar Guetio</t>
  </si>
  <si>
    <t>Manuel Felipe Muñoz</t>
  </si>
  <si>
    <t>Jhon Calambas</t>
  </si>
  <si>
    <t>Arturo Acosta</t>
  </si>
  <si>
    <t>Edad del Conyugue</t>
  </si>
  <si>
    <t>Leidy Viviana Realpe Jimenez</t>
  </si>
  <si>
    <t>Anuar Ferney Lopez Collazos</t>
  </si>
  <si>
    <t>Daniela Cruz Castillo</t>
  </si>
  <si>
    <t>Eliodoro Guerrero Bravo</t>
  </si>
  <si>
    <t>ZULMA GUERRERO V.</t>
  </si>
  <si>
    <t>María Dora Quinayas</t>
  </si>
  <si>
    <t>DIEGO FELIPE SILVA</t>
  </si>
  <si>
    <t>DANIEL JERONIMO REALPE J</t>
  </si>
  <si>
    <t>VALERY TATIANA BOLAÑOS</t>
  </si>
  <si>
    <t>ARNIDA MARIA VELAZCO</t>
  </si>
  <si>
    <t>Dolores Guerrero</t>
  </si>
  <si>
    <t>JHON GURRERO MUÑOZ</t>
  </si>
  <si>
    <t>LUISA VALEBTINA URBANO</t>
  </si>
  <si>
    <t>CAROL YURAIMA ZUÑIGA</t>
  </si>
  <si>
    <t>ANYIE VANNESA ZUÑIGA COAJI</t>
  </si>
  <si>
    <t>DANNA VALERIA  PAZ</t>
  </si>
  <si>
    <t>Sebastián Montenegro C</t>
  </si>
  <si>
    <t>Dani Alejandro S</t>
  </si>
  <si>
    <t>Yenny Magnolia  Sanchez</t>
  </si>
  <si>
    <t>Parentesco 1</t>
  </si>
  <si>
    <t>PADRE</t>
  </si>
  <si>
    <t>madre</t>
  </si>
  <si>
    <t>hija</t>
  </si>
  <si>
    <t>SOBRINO</t>
  </si>
  <si>
    <t>NIETO</t>
  </si>
  <si>
    <t>Nombres y Apellidos 1</t>
  </si>
  <si>
    <t>YESICA LORENA RODRIGUEZ</t>
  </si>
  <si>
    <t>RICARDO QUIÑONEZ</t>
  </si>
  <si>
    <t>Laura Vanessa Cifuentes Ledezma</t>
  </si>
  <si>
    <t>ADRIAN DAVID PALECHOR</t>
  </si>
  <si>
    <t>WILSON ESTIVEN CAMPO</t>
  </si>
  <si>
    <t>Viviana Coaji</t>
  </si>
  <si>
    <t>DAVID JEOVANY QUIJANO</t>
  </si>
  <si>
    <t>JOHILY  JULIANA MONCAYO E</t>
  </si>
  <si>
    <t>JOSE OMAR SANCHEZ</t>
  </si>
  <si>
    <t>MILTON JAVIER SANCHEZ</t>
  </si>
  <si>
    <t>KERLI SOSCUE CHILO</t>
  </si>
  <si>
    <t>JEISON SANTIAGO GUERRERO</t>
  </si>
  <si>
    <t>MARIA IRENE MEJIA</t>
  </si>
  <si>
    <t>Cesar Marcelo Bolaños Collazos</t>
  </si>
  <si>
    <t>ANDRES FELIPE MERA</t>
  </si>
  <si>
    <t>YASLITH SOFIA CHAPID</t>
  </si>
  <si>
    <t>Andres Esteban Coaji Fernandez</t>
  </si>
  <si>
    <t>ANGEL MARIA SOSCUE</t>
  </si>
  <si>
    <t>Maria Teresa Espinoza</t>
  </si>
  <si>
    <t>FRANCY LILIANA RUIZ RUIZ</t>
  </si>
  <si>
    <t>DEIBY ANDERSON BENAVIDES SAMBONY</t>
  </si>
  <si>
    <t>CLAUDIA PATRICIA ALEGRIA</t>
  </si>
  <si>
    <t>ZAYRA BASTIDAS</t>
  </si>
  <si>
    <t>DUVAN ALVAREZ ANACONA</t>
  </si>
  <si>
    <t>April Yaneth Palechor Collazos</t>
  </si>
  <si>
    <t>EMERSON ENEI RUIZ</t>
  </si>
  <si>
    <t>SEBASTIAN ESCOBAR</t>
  </si>
  <si>
    <t>MONICA VIVIANA CIFUENTES</t>
  </si>
  <si>
    <t>Hermano</t>
  </si>
  <si>
    <t xml:space="preserve">PAPÁ </t>
  </si>
  <si>
    <t>Abuelo</t>
  </si>
  <si>
    <t>CRISTIAN COLLAZOS ALEGRÍA</t>
  </si>
  <si>
    <t>ANDREA CATALINA CASTILLO FERNANDEZ</t>
  </si>
  <si>
    <t>ERICK DANIEL FERNANDEZ PERAFAN</t>
  </si>
  <si>
    <t>THIAGO JOSHUA HERRERA QUIRA</t>
  </si>
  <si>
    <t>LUZ DARI MAPALLO</t>
  </si>
  <si>
    <t>JOSEPH LUCIANO BELTTAN</t>
  </si>
  <si>
    <t>Brayan Daniel Rivera</t>
  </si>
  <si>
    <t>Jimy Alexis Salazar Guetio</t>
  </si>
  <si>
    <t>Paula Mary Muñoz</t>
  </si>
  <si>
    <t>Edad 1</t>
  </si>
  <si>
    <t>Daniel Jeronimo Realpe Jimenez</t>
  </si>
  <si>
    <t>Valentina Cruz Castillo</t>
  </si>
  <si>
    <t>Luvin Guerrero Velazco</t>
  </si>
  <si>
    <t xml:space="preserve">HERNÁN DARÍO COLLAZOS SILVA </t>
  </si>
  <si>
    <t>José Valentín Criollo</t>
  </si>
  <si>
    <t>LEIDY VIVIANA REALPE J</t>
  </si>
  <si>
    <t>Lizeth Dayana Becerra</t>
  </si>
  <si>
    <t>ANTONELA GUERRERO</t>
  </si>
  <si>
    <t>KAROL JURAHIMA ZUÑIGA COAJI</t>
  </si>
  <si>
    <t>Jeronimo Montenegro C</t>
  </si>
  <si>
    <t>Yarit Santiago Quiñónez S</t>
  </si>
  <si>
    <t>Parentesco 2</t>
  </si>
  <si>
    <t>RICARDO ANTONIO RIVERA</t>
  </si>
  <si>
    <t>CLAUDIA VALENCIA</t>
  </si>
  <si>
    <t>DORA CAMAYO</t>
  </si>
  <si>
    <t>MARTHA CECILIA CARLOSAMA</t>
  </si>
  <si>
    <t>JOSE FERNANDO ZAMBRANO</t>
  </si>
  <si>
    <t>JAMITH COLLAZOS</t>
  </si>
  <si>
    <t>AMANDA ACOSTA</t>
  </si>
  <si>
    <t>ADELINA CASTILLO</t>
  </si>
  <si>
    <t>YEIN FERNANDA HOYOS</t>
  </si>
  <si>
    <t>GERARDINA VASQUEZ</t>
  </si>
  <si>
    <t>Evisavel Montoya</t>
  </si>
  <si>
    <t>Luz Elena Becerra</t>
  </si>
  <si>
    <t>Jaime Ortega Montilla</t>
  </si>
  <si>
    <t>Diana Castiblanco Mendez</t>
  </si>
  <si>
    <t>Bolivar Piamba</t>
  </si>
  <si>
    <t>Liliana Coaji</t>
  </si>
  <si>
    <t>Albanel Santiago</t>
  </si>
  <si>
    <t>Lidefonso Ordoñez Salazar</t>
  </si>
  <si>
    <t>Nombres y Apellidos 2</t>
  </si>
  <si>
    <t>JAIRO HERNAN RODRIGUEZ</t>
  </si>
  <si>
    <t>WILSON FERNANDO QUIÑONEZ</t>
  </si>
  <si>
    <t>Luisa Fernanda Cifuentes Ledezma</t>
  </si>
  <si>
    <t>HARLEN RENE QUIÑONEZ</t>
  </si>
  <si>
    <t>CLAUDIA YULIETH SUSCUE</t>
  </si>
  <si>
    <t xml:space="preserve">MIGUEL ANGEL MONCAYO E </t>
  </si>
  <si>
    <t>FRAYNEY DAVID CHILO</t>
  </si>
  <si>
    <t>JUAN DAVID GUERRERO E.</t>
  </si>
  <si>
    <t>ERNEY ASTAIZA</t>
  </si>
  <si>
    <t>Norlys Yamid Bolaños Collazos</t>
  </si>
  <si>
    <t>JHON GERMAN CHAPID</t>
  </si>
  <si>
    <t>ANA TULIA QUIÑONEZ</t>
  </si>
  <si>
    <t>Claudia Maria Espinoza</t>
  </si>
  <si>
    <t>FREDY ERNEY RUIZ</t>
  </si>
  <si>
    <t>ERICK BENAVIDES SAMBONY</t>
  </si>
  <si>
    <t>ERIKA VANNESA ALEGRIA</t>
  </si>
  <si>
    <t>YULI PATRICIA ANACONA</t>
  </si>
  <si>
    <t>DANA GABRIELA ALVAREZ</t>
  </si>
  <si>
    <t>JUAN FERNANDO ESCOBAR</t>
  </si>
  <si>
    <t>Hermana</t>
  </si>
  <si>
    <t>ZAID GABRIEL SALAZAR FERNANDEZ</t>
  </si>
  <si>
    <t>DAIRON GALVIS</t>
  </si>
  <si>
    <t xml:space="preserve">Alex Rivera </t>
  </si>
  <si>
    <t>Edad 2</t>
  </si>
  <si>
    <t xml:space="preserve">HIJO </t>
  </si>
  <si>
    <t>Erika Tatiana Guerrero</t>
  </si>
  <si>
    <t>CESAR AGUSTO VELAZCO</t>
  </si>
  <si>
    <t>Marlon Becerra</t>
  </si>
  <si>
    <t>Parentesco 3</t>
  </si>
  <si>
    <t>SOBRINA</t>
  </si>
  <si>
    <t>hijo</t>
  </si>
  <si>
    <t>EMERSON DAVID ASTAIZA MEJIA</t>
  </si>
  <si>
    <t>CRISTIAN DAVID MOSCA</t>
  </si>
  <si>
    <t>DAYANA MILDRED GALLEGO</t>
  </si>
  <si>
    <t>DANIELA CEBALLOS</t>
  </si>
  <si>
    <t>JHON ZUÑIGA</t>
  </si>
  <si>
    <t>YEN QUEVIN TARAPUES</t>
  </si>
  <si>
    <t>ANA OMAIRA CERQUERA</t>
  </si>
  <si>
    <t>DERIAN DAVID CASTILLO</t>
  </si>
  <si>
    <t>DAYAN SEBASTIAN SANCHEZ</t>
  </si>
  <si>
    <t>DANNA LISSTH COAJI</t>
  </si>
  <si>
    <t>BRAYAN CAMILO PIZO</t>
  </si>
  <si>
    <t xml:space="preserve">EDIR GONZALES  </t>
  </si>
  <si>
    <t>Maria Isabel Mosca Montoya</t>
  </si>
  <si>
    <t>Maidi Yisei Mosca Becerra</t>
  </si>
  <si>
    <t>BRAYAN TARAPUES</t>
  </si>
  <si>
    <t>Jaime Andres Ortega Rivera</t>
  </si>
  <si>
    <t>Steven Mambuscay Castiblanco</t>
  </si>
  <si>
    <t>James Piamba</t>
  </si>
  <si>
    <t>Angela Zambrano Muñoz</t>
  </si>
  <si>
    <t>Angela Mayerli Chantre</t>
  </si>
  <si>
    <t>Laura Licet Ordoñez</t>
  </si>
  <si>
    <t xml:space="preserve">NIETA </t>
  </si>
  <si>
    <t>Nombres y Apellidos 3</t>
  </si>
  <si>
    <t>SANDRA MAYERLI QUIÑONEZ</t>
  </si>
  <si>
    <t>MARIA JOSE QUIJANO</t>
  </si>
  <si>
    <t>YESID ALEJANDRO</t>
  </si>
  <si>
    <t>MELVIN JHPANA ASTAIZA</t>
  </si>
  <si>
    <t>SARA ELISABETH SOSCUE</t>
  </si>
  <si>
    <t>Nestor Andres Espinoza</t>
  </si>
  <si>
    <t>VICTOR MANUEL RUIZ</t>
  </si>
  <si>
    <t>ANGY LIZETH ALEGRIA</t>
  </si>
  <si>
    <t>SARAI LISBETH ESCOBAR</t>
  </si>
  <si>
    <t>TALIANA GALVIS</t>
  </si>
  <si>
    <t>Jeferson Rivera</t>
  </si>
  <si>
    <t>Edad 3</t>
  </si>
  <si>
    <t>Ángela Yuliana Guerrero Velasco</t>
  </si>
  <si>
    <t>Parentesco 4</t>
  </si>
  <si>
    <t>HERMANO</t>
  </si>
  <si>
    <t>ANDERSON RENE ASTAIZA MEJIA</t>
  </si>
  <si>
    <t>SHARY DANIELA MOSCA</t>
  </si>
  <si>
    <t>JUAN ESTEBAN GALLEGO</t>
  </si>
  <si>
    <t>MARIA  ALEJANDRA CEBALLOS</t>
  </si>
  <si>
    <t>INGRID TATIANA ZUÑIGA</t>
  </si>
  <si>
    <t>CARLOS ANDRES TARAPUES</t>
  </si>
  <si>
    <t>LUISA FERNANDA SOTELO URRUTIA</t>
  </si>
  <si>
    <t>MILDRED ZENAIDA CASTILLO ACOSTA</t>
  </si>
  <si>
    <t>JULIAN SANCHEZ</t>
  </si>
  <si>
    <t>MOISES ANTONIO CUAJI</t>
  </si>
  <si>
    <t>Yeimi Licey Mosca Montoya</t>
  </si>
  <si>
    <t>TATIANA ZUÑIGA</t>
  </si>
  <si>
    <t>Liceth Mariana Ortega Rivera</t>
  </si>
  <si>
    <t>Mariana Piamba</t>
  </si>
  <si>
    <t>Tatiana Zambrano Muñoz</t>
  </si>
  <si>
    <t>Luz Mery Chantre</t>
  </si>
  <si>
    <t>Cuñado</t>
  </si>
  <si>
    <t>Nombres y Apellidos 4</t>
  </si>
  <si>
    <t>ADRIANA ELISABETH QUIÑONEZ</t>
  </si>
  <si>
    <t>LUCIANA QUIJANO</t>
  </si>
  <si>
    <t>EMERSON DAVID ASTAIZA</t>
  </si>
  <si>
    <t>Zully Gabriela Espinoza</t>
  </si>
  <si>
    <t>SANDRA LORENA RUIZ</t>
  </si>
  <si>
    <t>Adrian Noguera</t>
  </si>
  <si>
    <t>Edad 4</t>
  </si>
  <si>
    <t>Parentesco 5</t>
  </si>
  <si>
    <t>JEFERSON PAOL ASTAIZA MEJIA</t>
  </si>
  <si>
    <t xml:space="preserve">JUAN ESTEBAN CEBALLOS </t>
  </si>
  <si>
    <t>VALERIA ZAMBRANO</t>
  </si>
  <si>
    <t>MANUEL YESID CASTILLO ACOSTA</t>
  </si>
  <si>
    <t>Briyi Mosca Montoya</t>
  </si>
  <si>
    <t>Ruby Piamba</t>
  </si>
  <si>
    <t>Alex Bernabe Chantre</t>
  </si>
  <si>
    <t>Nieta</t>
  </si>
  <si>
    <t>Nombres y Apellidos 5</t>
  </si>
  <si>
    <t>LAUREM ARIANA GAVIRIA</t>
  </si>
  <si>
    <t>ANDERSON RENE ASTAIZA</t>
  </si>
  <si>
    <t>LEIDY RUIZ</t>
  </si>
  <si>
    <t>Sofia Rivera</t>
  </si>
  <si>
    <t>Edad 5</t>
  </si>
  <si>
    <t xml:space="preserve">Nieto </t>
  </si>
  <si>
    <t>Parentesco 6</t>
  </si>
  <si>
    <t>Aili Yohana Mosca Becerra</t>
  </si>
  <si>
    <t>Eimer Eduardo Chantre</t>
  </si>
  <si>
    <t>Nombres y Apellidos 6</t>
  </si>
  <si>
    <t>Edad 6</t>
  </si>
  <si>
    <t>Nieto</t>
  </si>
  <si>
    <t>Andrw David Lame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</si>
</sst>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0.00000"/>
    <numFmt numFmtId="165" formatCode="#,##0.0000000"/>
    <numFmt numFmtId="166" formatCode="0.00000"/>
    <numFmt numFmtId="167" formatCode="#,##0.000000"/>
    <numFmt numFmtId="168" formatCode="0.000000"/>
    <numFmt numFmtId="169" formatCode="d\.m"/>
    <numFmt numFmtId="170" formatCode="dd/mm/yyyy"/>
    <numFmt numFmtId="171" formatCode="d/m/yyyy"/>
  </numFmts>
  <fonts count="6" x14ac:knownFonts="1">
    <font>
      <sz val="11"/>
      <color rgb="FF000000"/>
      <name val="Calibri"/>
      <scheme val="minor"/>
    </font>
    <font>
      <b/>
      <sz val="11"/>
      <color rgb="FF000000"/>
      <name val="Calibri"/>
    </font>
    <font>
      <sz val="11"/>
      <color rgb="FF000000"/>
      <name val="Calibri"/>
    </font>
    <font>
      <sz val="12"/>
      <color rgb="FF000000"/>
      <name val="Arial Narrow"/>
    </font>
    <font>
      <sz val="11"/>
      <color theme="1"/>
      <name val="Calibri"/>
    </font>
    <font>
      <sz val="9"/>
      <color rgb="FF1F1F1F"/>
      <name val="Arial"/>
    </font>
  </fonts>
  <fills count="15">
    <fill>
      <patternFill patternType="none"/>
    </fill>
    <fill>
      <patternFill patternType="gray125"/>
    </fill>
    <fill>
      <patternFill patternType="solid">
        <fgColor rgb="FF00FF00"/>
        <bgColor rgb="FF00FF00"/>
      </patternFill>
    </fill>
    <fill>
      <patternFill patternType="solid">
        <fgColor rgb="FF999999"/>
        <bgColor rgb="FF999999"/>
      </patternFill>
    </fill>
    <fill>
      <patternFill patternType="solid">
        <fgColor rgb="FFFFFF00"/>
        <bgColor rgb="FFFFFF00"/>
      </patternFill>
    </fill>
    <fill>
      <patternFill patternType="solid">
        <fgColor rgb="FF9FC5E8"/>
        <bgColor rgb="FF9FC5E8"/>
      </patternFill>
    </fill>
    <fill>
      <patternFill patternType="solid">
        <fgColor rgb="FFFF00FF"/>
        <bgColor rgb="FFFF00FF"/>
      </patternFill>
    </fill>
    <fill>
      <patternFill patternType="solid">
        <fgColor rgb="FFFFFFFF"/>
        <bgColor rgb="FFFFFFFF"/>
      </patternFill>
    </fill>
    <fill>
      <patternFill patternType="solid">
        <fgColor rgb="FFEAD1DC"/>
        <bgColor rgb="FFEAD1DC"/>
      </patternFill>
    </fill>
    <fill>
      <patternFill patternType="solid">
        <fgColor rgb="FFFF0000"/>
        <bgColor rgb="FFFF0000"/>
      </patternFill>
    </fill>
    <fill>
      <patternFill patternType="solid">
        <fgColor rgb="FF666666"/>
        <bgColor rgb="FF666666"/>
      </patternFill>
    </fill>
    <fill>
      <patternFill patternType="solid">
        <fgColor rgb="FFFFF2CC"/>
        <bgColor rgb="FFFFF2CC"/>
      </patternFill>
    </fill>
    <fill>
      <patternFill patternType="solid">
        <fgColor rgb="FF00FFFF"/>
        <bgColor rgb="FF00FFFF"/>
      </patternFill>
    </fill>
    <fill>
      <patternFill patternType="solid">
        <fgColor rgb="FF9900FF"/>
        <bgColor rgb="FF9900FF"/>
      </patternFill>
    </fill>
    <fill>
      <patternFill patternType="solid">
        <fgColor rgb="FFFFE599"/>
        <bgColor rgb="FFFFE599"/>
      </patternFill>
    </fill>
  </fills>
  <borders count="16">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top style="thin">
        <color rgb="FF000000"/>
      </top>
      <bottom style="thin">
        <color rgb="FF000000"/>
      </bottom>
      <diagonal/>
    </border>
    <border>
      <left style="thin">
        <color rgb="FF000000"/>
      </left>
      <right/>
      <top/>
      <bottom/>
      <diagonal/>
    </border>
    <border>
      <left/>
      <right style="thin">
        <color rgb="FF000000"/>
      </right>
      <top/>
      <bottom/>
      <diagonal/>
    </border>
    <border>
      <left/>
      <right/>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style="thin">
        <color rgb="FF000000"/>
      </left>
      <right/>
      <top style="thin">
        <color rgb="FF000000"/>
      </top>
      <bottom/>
      <diagonal/>
    </border>
    <border>
      <left style="thin">
        <color rgb="FF000000"/>
      </left>
      <right/>
      <top/>
      <bottom style="thin">
        <color rgb="FF000000"/>
      </bottom>
      <diagonal/>
    </border>
    <border>
      <left/>
      <right style="thin">
        <color rgb="FF000000"/>
      </right>
      <top style="thin">
        <color rgb="FF000000"/>
      </top>
      <bottom/>
      <diagonal/>
    </border>
  </borders>
  <cellStyleXfs count="1">
    <xf numFmtId="0" fontId="0" fillId="0" borderId="0"/>
  </cellStyleXfs>
  <cellXfs count="147">
    <xf numFmtId="0" fontId="0" fillId="0" borderId="0" xfId="0"/>
    <xf numFmtId="0" fontId="1" fillId="2" borderId="1" xfId="0" applyFont="1" applyFill="1" applyBorder="1" applyAlignment="1">
      <alignment horizontal="left" vertical="center" wrapText="1"/>
    </xf>
    <xf numFmtId="0" fontId="1" fillId="0" borderId="2" xfId="0" applyFont="1" applyBorder="1" applyAlignment="1">
      <alignment horizontal="center"/>
    </xf>
    <xf numFmtId="0" fontId="1" fillId="3" borderId="1" xfId="0" applyFont="1" applyFill="1" applyBorder="1" applyAlignment="1">
      <alignment horizontal="center" vertical="center" wrapText="1"/>
    </xf>
    <xf numFmtId="0" fontId="1" fillId="0" borderId="1" xfId="0" applyFont="1" applyBorder="1" applyAlignment="1">
      <alignment horizontal="center" vertical="center" wrapText="1"/>
    </xf>
    <xf numFmtId="0" fontId="0" fillId="0" borderId="0" xfId="0" applyAlignment="1">
      <alignment vertical="center"/>
    </xf>
    <xf numFmtId="0" fontId="2" fillId="4" borderId="1" xfId="0" applyFont="1" applyFill="1" applyBorder="1" applyAlignment="1">
      <alignment horizontal="left"/>
    </xf>
    <xf numFmtId="0" fontId="2" fillId="0" borderId="1" xfId="0" applyFont="1" applyBorder="1" applyAlignment="1">
      <alignment horizontal="center"/>
    </xf>
    <xf numFmtId="0" fontId="2" fillId="5" borderId="1" xfId="0" applyFont="1" applyFill="1" applyBorder="1" applyAlignment="1">
      <alignment horizontal="center"/>
    </xf>
    <xf numFmtId="0" fontId="2" fillId="0" borderId="1" xfId="0" applyFont="1" applyBorder="1"/>
    <xf numFmtId="0" fontId="2" fillId="0" borderId="1" xfId="0" applyFont="1" applyBorder="1" applyAlignment="1">
      <alignment horizontal="center" wrapText="1"/>
    </xf>
    <xf numFmtId="0" fontId="2" fillId="6" borderId="1" xfId="0" applyFont="1" applyFill="1" applyBorder="1" applyAlignment="1">
      <alignment horizontal="center"/>
    </xf>
    <xf numFmtId="0" fontId="2" fillId="0" borderId="3" xfId="0" applyFont="1" applyBorder="1" applyAlignment="1">
      <alignment horizontal="center"/>
    </xf>
    <xf numFmtId="0" fontId="2" fillId="7" borderId="1" xfId="0" applyFont="1" applyFill="1" applyBorder="1" applyAlignment="1">
      <alignment horizontal="center"/>
    </xf>
    <xf numFmtId="0" fontId="1" fillId="0" borderId="1" xfId="0" applyFont="1" applyBorder="1" applyAlignment="1">
      <alignment horizontal="center"/>
    </xf>
    <xf numFmtId="0" fontId="2" fillId="0" borderId="4" xfId="0" applyFont="1" applyBorder="1" applyAlignment="1">
      <alignment horizontal="center"/>
    </xf>
    <xf numFmtId="0" fontId="2" fillId="0" borderId="1" xfId="0" applyFont="1" applyBorder="1" applyAlignment="1">
      <alignment wrapText="1"/>
    </xf>
    <xf numFmtId="0" fontId="2" fillId="8" borderId="1" xfId="0" applyFont="1" applyFill="1" applyBorder="1" applyAlignment="1">
      <alignment horizontal="center"/>
    </xf>
    <xf numFmtId="0" fontId="2" fillId="0" borderId="0" xfId="0" applyFont="1"/>
    <xf numFmtId="3" fontId="2" fillId="0" borderId="1" xfId="0" applyNumberFormat="1" applyFont="1" applyBorder="1" applyAlignment="1">
      <alignment horizontal="center" wrapText="1"/>
    </xf>
    <xf numFmtId="49" fontId="2" fillId="0" borderId="1" xfId="0" applyNumberFormat="1" applyFont="1" applyBorder="1" applyAlignment="1">
      <alignment horizontal="center"/>
    </xf>
    <xf numFmtId="3" fontId="2" fillId="0" borderId="3" xfId="0" applyNumberFormat="1" applyFont="1" applyBorder="1" applyAlignment="1">
      <alignment horizontal="center"/>
    </xf>
    <xf numFmtId="3" fontId="2" fillId="0" borderId="1" xfId="0" applyNumberFormat="1" applyFont="1" applyBorder="1" applyAlignment="1">
      <alignment horizontal="center"/>
    </xf>
    <xf numFmtId="3" fontId="2" fillId="0" borderId="1" xfId="0" applyNumberFormat="1" applyFont="1" applyBorder="1"/>
    <xf numFmtId="3" fontId="2" fillId="0" borderId="1" xfId="0" applyNumberFormat="1" applyFont="1" applyBorder="1" applyAlignment="1">
      <alignment wrapText="1"/>
    </xf>
    <xf numFmtId="3" fontId="2" fillId="0" borderId="0" xfId="0" applyNumberFormat="1" applyFont="1" applyAlignment="1">
      <alignment horizontal="center" wrapText="1"/>
    </xf>
    <xf numFmtId="0" fontId="2" fillId="0" borderId="1" xfId="0" applyFont="1" applyBorder="1" applyAlignment="1">
      <alignment horizontal="center" vertical="center" wrapText="1"/>
    </xf>
    <xf numFmtId="0" fontId="2" fillId="0" borderId="5" xfId="0" applyFont="1" applyBorder="1" applyAlignment="1">
      <alignment horizontal="center"/>
    </xf>
    <xf numFmtId="0" fontId="2" fillId="0" borderId="1" xfId="0" applyFont="1" applyBorder="1" applyAlignment="1">
      <alignment vertical="center" wrapText="1"/>
    </xf>
    <xf numFmtId="0" fontId="2" fillId="0" borderId="1" xfId="0" applyFont="1" applyBorder="1" applyAlignment="1">
      <alignment horizontal="left" wrapText="1"/>
    </xf>
    <xf numFmtId="0" fontId="3" fillId="0" borderId="0" xfId="0" applyFont="1" applyAlignment="1">
      <alignment horizontal="center"/>
    </xf>
    <xf numFmtId="0" fontId="2" fillId="0" borderId="0" xfId="0" applyFont="1" applyAlignment="1">
      <alignment horizontal="center" wrapText="1"/>
    </xf>
    <xf numFmtId="0" fontId="4" fillId="0" borderId="0" xfId="0" applyFont="1" applyAlignment="1">
      <alignment horizontal="center" vertical="center"/>
    </xf>
    <xf numFmtId="0" fontId="2" fillId="9" borderId="1" xfId="0" applyFont="1" applyFill="1" applyBorder="1" applyAlignment="1">
      <alignment horizontal="center"/>
    </xf>
    <xf numFmtId="164" fontId="2" fillId="0" borderId="1" xfId="0" applyNumberFormat="1" applyFont="1" applyBorder="1" applyAlignment="1">
      <alignment horizontal="center"/>
    </xf>
    <xf numFmtId="165" fontId="2" fillId="0" borderId="1" xfId="0" applyNumberFormat="1" applyFont="1" applyBorder="1" applyAlignment="1">
      <alignment horizontal="center"/>
    </xf>
    <xf numFmtId="166" fontId="2" fillId="0" borderId="1" xfId="0" applyNumberFormat="1" applyFont="1" applyBorder="1" applyAlignment="1">
      <alignment horizontal="center"/>
    </xf>
    <xf numFmtId="167" fontId="2" fillId="0" borderId="1" xfId="0" applyNumberFormat="1" applyFont="1" applyBorder="1" applyAlignment="1">
      <alignment horizontal="center"/>
    </xf>
    <xf numFmtId="168" fontId="2" fillId="0" borderId="1" xfId="0" applyNumberFormat="1" applyFont="1" applyBorder="1" applyAlignment="1">
      <alignment horizontal="center"/>
    </xf>
    <xf numFmtId="168" fontId="1" fillId="0" borderId="1" xfId="0" applyNumberFormat="1" applyFont="1" applyBorder="1" applyAlignment="1">
      <alignment horizontal="center"/>
    </xf>
    <xf numFmtId="167" fontId="2" fillId="0" borderId="3" xfId="0" applyNumberFormat="1" applyFont="1" applyBorder="1" applyAlignment="1">
      <alignment horizontal="center"/>
    </xf>
    <xf numFmtId="0" fontId="2" fillId="0" borderId="2" xfId="0" applyFont="1" applyBorder="1" applyAlignment="1">
      <alignment horizontal="center"/>
    </xf>
    <xf numFmtId="0" fontId="2" fillId="0" borderId="2" xfId="0" applyFont="1" applyBorder="1" applyAlignment="1">
      <alignment horizontal="center" wrapText="1"/>
    </xf>
    <xf numFmtId="0" fontId="2" fillId="0" borderId="6" xfId="0" applyFont="1" applyBorder="1" applyAlignment="1">
      <alignment horizontal="center"/>
    </xf>
    <xf numFmtId="0" fontId="2" fillId="0" borderId="7" xfId="0" applyFont="1" applyBorder="1" applyAlignment="1">
      <alignment horizontal="center"/>
    </xf>
    <xf numFmtId="0" fontId="2" fillId="0" borderId="8" xfId="0" applyFont="1" applyBorder="1" applyAlignment="1">
      <alignment horizontal="center"/>
    </xf>
    <xf numFmtId="0" fontId="4" fillId="0" borderId="1" xfId="0" applyFont="1" applyBorder="1" applyAlignment="1">
      <alignment horizontal="center" vertical="center"/>
    </xf>
    <xf numFmtId="0" fontId="4" fillId="0" borderId="9" xfId="0" applyFont="1" applyBorder="1" applyAlignment="1">
      <alignment horizontal="center" vertical="center"/>
    </xf>
    <xf numFmtId="0" fontId="1" fillId="0" borderId="1" xfId="0" applyFont="1" applyBorder="1" applyAlignment="1">
      <alignment horizontal="left"/>
    </xf>
    <xf numFmtId="0" fontId="2" fillId="0" borderId="7" xfId="0" applyFont="1" applyBorder="1" applyAlignment="1">
      <alignment horizontal="center" wrapText="1"/>
    </xf>
    <xf numFmtId="0" fontId="1" fillId="0" borderId="7" xfId="0" applyFont="1" applyBorder="1" applyAlignment="1">
      <alignment horizontal="center"/>
    </xf>
    <xf numFmtId="0" fontId="1" fillId="0" borderId="7" xfId="0" applyFont="1" applyBorder="1" applyAlignment="1">
      <alignment horizontal="center" wrapText="1"/>
    </xf>
    <xf numFmtId="0" fontId="1" fillId="0" borderId="10" xfId="0" applyFont="1" applyBorder="1" applyAlignment="1">
      <alignment horizontal="center" wrapText="1"/>
    </xf>
    <xf numFmtId="0" fontId="1" fillId="0" borderId="11" xfId="0" applyFont="1" applyBorder="1" applyAlignment="1">
      <alignment horizontal="center" wrapText="1"/>
    </xf>
    <xf numFmtId="0" fontId="1" fillId="0" borderId="1" xfId="0" applyFont="1" applyBorder="1" applyAlignment="1">
      <alignment horizontal="center" wrapText="1"/>
    </xf>
    <xf numFmtId="0" fontId="2" fillId="0" borderId="1" xfId="0" applyFont="1" applyBorder="1" applyAlignment="1">
      <alignment horizontal="left" vertical="center" wrapText="1"/>
    </xf>
    <xf numFmtId="0" fontId="2" fillId="0" borderId="7" xfId="0" applyFont="1" applyBorder="1" applyAlignment="1">
      <alignment horizontal="center" vertical="center" wrapText="1"/>
    </xf>
    <xf numFmtId="0" fontId="2" fillId="10" borderId="1" xfId="0" applyFont="1" applyFill="1" applyBorder="1" applyAlignment="1">
      <alignment horizontal="center"/>
    </xf>
    <xf numFmtId="0" fontId="1" fillId="0" borderId="7" xfId="0" applyFont="1" applyBorder="1" applyAlignment="1">
      <alignment horizontal="center" vertical="center" wrapText="1"/>
    </xf>
    <xf numFmtId="0" fontId="1" fillId="0" borderId="12" xfId="0" applyFont="1" applyBorder="1" applyAlignment="1">
      <alignment horizontal="center" vertical="center" wrapText="1"/>
    </xf>
    <xf numFmtId="0" fontId="1" fillId="0" borderId="7" xfId="0" applyFont="1" applyBorder="1" applyAlignment="1">
      <alignment horizontal="center" vertical="center" wrapText="1"/>
    </xf>
    <xf numFmtId="0" fontId="1" fillId="0" borderId="11" xfId="0" applyFont="1" applyBorder="1" applyAlignment="1">
      <alignment horizontal="center" vertical="center" wrapText="1"/>
    </xf>
    <xf numFmtId="0" fontId="1" fillId="0" borderId="1" xfId="0" applyFont="1" applyBorder="1" applyAlignment="1">
      <alignment horizontal="left" vertical="center"/>
    </xf>
    <xf numFmtId="0" fontId="4" fillId="0" borderId="1" xfId="0" applyFont="1" applyBorder="1" applyAlignment="1">
      <alignment horizontal="center" wrapText="1"/>
    </xf>
    <xf numFmtId="0" fontId="2" fillId="0" borderId="11" xfId="0" applyFont="1" applyBorder="1" applyAlignment="1">
      <alignment horizontal="center"/>
    </xf>
    <xf numFmtId="169" fontId="2" fillId="0" borderId="1" xfId="0" applyNumberFormat="1" applyFont="1" applyBorder="1" applyAlignment="1">
      <alignment horizontal="center"/>
    </xf>
    <xf numFmtId="0" fontId="5" fillId="0" borderId="1" xfId="0" applyFont="1" applyBorder="1" applyAlignment="1">
      <alignment horizontal="center"/>
    </xf>
    <xf numFmtId="0" fontId="1" fillId="0" borderId="0" xfId="0" applyFont="1" applyAlignment="1">
      <alignment horizontal="left"/>
    </xf>
    <xf numFmtId="0" fontId="1" fillId="0" borderId="0" xfId="0" applyFont="1" applyAlignment="1">
      <alignment horizontal="center"/>
    </xf>
    <xf numFmtId="0" fontId="2" fillId="0" borderId="0" xfId="0" applyFont="1" applyAlignment="1">
      <alignment horizontal="center"/>
    </xf>
    <xf numFmtId="0" fontId="2" fillId="0" borderId="13" xfId="0" applyFont="1" applyBorder="1" applyAlignment="1">
      <alignment horizontal="center"/>
    </xf>
    <xf numFmtId="0" fontId="2" fillId="11" borderId="1" xfId="0" applyFont="1" applyFill="1" applyBorder="1" applyAlignment="1">
      <alignment horizontal="center"/>
    </xf>
    <xf numFmtId="0" fontId="2" fillId="0" borderId="3" xfId="0" applyFont="1" applyBorder="1"/>
    <xf numFmtId="0" fontId="2" fillId="0" borderId="1" xfId="0" applyFont="1" applyBorder="1" applyAlignment="1">
      <alignment horizontal="center" vertical="center"/>
    </xf>
    <xf numFmtId="0" fontId="2" fillId="0" borderId="3" xfId="0" applyFont="1" applyBorder="1" applyAlignment="1">
      <alignment horizontal="center" vertical="center" wrapText="1"/>
    </xf>
    <xf numFmtId="0" fontId="4" fillId="0" borderId="1" xfId="0" applyFont="1" applyBorder="1" applyAlignment="1">
      <alignment vertical="center"/>
    </xf>
    <xf numFmtId="0" fontId="2" fillId="0" borderId="11" xfId="0" applyFont="1" applyBorder="1" applyAlignment="1">
      <alignment horizontal="center" vertical="center" wrapText="1"/>
    </xf>
    <xf numFmtId="0" fontId="2" fillId="0" borderId="3" xfId="0" applyFont="1" applyBorder="1" applyAlignment="1">
      <alignment horizontal="left" vertical="center" wrapText="1"/>
    </xf>
    <xf numFmtId="0" fontId="4" fillId="0" borderId="1" xfId="0" applyFont="1" applyBorder="1" applyAlignment="1">
      <alignment vertical="center" wrapText="1"/>
    </xf>
    <xf numFmtId="0" fontId="2" fillId="0" borderId="11" xfId="0" applyFont="1" applyBorder="1" applyAlignment="1">
      <alignment horizontal="left" vertical="center" wrapText="1"/>
    </xf>
    <xf numFmtId="0" fontId="2" fillId="0" borderId="2" xfId="0" applyFont="1" applyBorder="1" applyAlignment="1">
      <alignment horizontal="center" vertical="center"/>
    </xf>
    <xf numFmtId="0" fontId="2" fillId="0" borderId="3" xfId="0" applyFont="1" applyBorder="1" applyAlignment="1">
      <alignment horizontal="center" wrapText="1"/>
    </xf>
    <xf numFmtId="0" fontId="2" fillId="0" borderId="11" xfId="0" applyFont="1" applyBorder="1" applyAlignment="1">
      <alignment horizontal="center" wrapText="1"/>
    </xf>
    <xf numFmtId="0" fontId="2" fillId="0" borderId="3" xfId="0" applyFont="1" applyBorder="1" applyAlignment="1">
      <alignment wrapText="1"/>
    </xf>
    <xf numFmtId="0" fontId="2" fillId="0" borderId="5" xfId="0" applyFont="1" applyBorder="1" applyAlignment="1">
      <alignment horizontal="center" vertical="center"/>
    </xf>
    <xf numFmtId="0" fontId="2" fillId="0" borderId="3" xfId="0" applyFont="1" applyBorder="1" applyAlignment="1">
      <alignment vertical="center" wrapText="1"/>
    </xf>
    <xf numFmtId="0" fontId="2" fillId="0" borderId="11" xfId="0" applyFont="1" applyBorder="1" applyAlignment="1">
      <alignment vertical="center" wrapText="1"/>
    </xf>
    <xf numFmtId="0" fontId="2" fillId="0" borderId="2" xfId="0" applyFont="1" applyBorder="1" applyAlignment="1">
      <alignment horizontal="center" vertical="center" wrapText="1"/>
    </xf>
    <xf numFmtId="0" fontId="2" fillId="0" borderId="0" xfId="0" applyFont="1" applyAlignment="1">
      <alignment horizontal="center" vertical="center" wrapText="1"/>
    </xf>
    <xf numFmtId="0" fontId="2" fillId="0" borderId="13" xfId="0" applyFont="1" applyBorder="1" applyAlignment="1">
      <alignment horizontal="center" vertical="center" wrapText="1"/>
    </xf>
    <xf numFmtId="0" fontId="4" fillId="0" borderId="1" xfId="0" applyFont="1" applyBorder="1" applyAlignment="1">
      <alignment horizontal="center" vertical="center" wrapText="1"/>
    </xf>
    <xf numFmtId="0" fontId="4" fillId="0" borderId="3" xfId="0" applyFont="1" applyBorder="1" applyAlignment="1">
      <alignment vertical="center"/>
    </xf>
    <xf numFmtId="0" fontId="2" fillId="0" borderId="14" xfId="0" applyFont="1" applyBorder="1" applyAlignment="1">
      <alignment horizontal="center" vertical="center" wrapText="1"/>
    </xf>
    <xf numFmtId="0" fontId="2" fillId="0" borderId="2" xfId="0" applyFont="1" applyBorder="1" applyAlignment="1">
      <alignment horizontal="left" vertical="center" wrapText="1"/>
    </xf>
    <xf numFmtId="0" fontId="2" fillId="0" borderId="2" xfId="0" applyFont="1" applyBorder="1" applyAlignment="1">
      <alignment vertical="center" wrapText="1"/>
    </xf>
    <xf numFmtId="0" fontId="2" fillId="0" borderId="15" xfId="0" applyFont="1" applyBorder="1" applyAlignment="1">
      <alignment horizontal="center"/>
    </xf>
    <xf numFmtId="0" fontId="2" fillId="0" borderId="5" xfId="0" applyFont="1" applyBorder="1" applyAlignment="1">
      <alignment horizontal="center" wrapText="1"/>
    </xf>
    <xf numFmtId="0" fontId="2" fillId="0" borderId="14" xfId="0" applyFont="1" applyBorder="1" applyAlignment="1">
      <alignment horizontal="center" wrapText="1"/>
    </xf>
    <xf numFmtId="0" fontId="2" fillId="0" borderId="13" xfId="0" applyFont="1" applyBorder="1"/>
    <xf numFmtId="170" fontId="2" fillId="0" borderId="1" xfId="0" applyNumberFormat="1" applyFont="1" applyBorder="1" applyAlignment="1">
      <alignment horizontal="center"/>
    </xf>
    <xf numFmtId="171" fontId="2" fillId="0" borderId="1" xfId="0" applyNumberFormat="1" applyFont="1" applyBorder="1" applyAlignment="1">
      <alignment horizontal="center"/>
    </xf>
    <xf numFmtId="171" fontId="2" fillId="0" borderId="3" xfId="0" applyNumberFormat="1" applyFont="1" applyBorder="1" applyAlignment="1">
      <alignment horizontal="center"/>
    </xf>
    <xf numFmtId="171" fontId="2" fillId="0" borderId="15" xfId="0" applyNumberFormat="1" applyFont="1" applyBorder="1" applyAlignment="1">
      <alignment horizontal="center"/>
    </xf>
    <xf numFmtId="171" fontId="2" fillId="0" borderId="13" xfId="0" applyNumberFormat="1" applyFont="1" applyBorder="1" applyAlignment="1">
      <alignment horizontal="center"/>
    </xf>
    <xf numFmtId="170" fontId="2" fillId="0" borderId="3" xfId="0" applyNumberFormat="1" applyFont="1" applyBorder="1" applyAlignment="1">
      <alignment horizontal="center"/>
    </xf>
    <xf numFmtId="171" fontId="2" fillId="0" borderId="1" xfId="0" applyNumberFormat="1" applyFont="1" applyBorder="1" applyAlignment="1">
      <alignment horizontal="center" wrapText="1"/>
    </xf>
    <xf numFmtId="0" fontId="2" fillId="0" borderId="15" xfId="0" applyFont="1" applyBorder="1" applyAlignment="1">
      <alignment wrapText="1"/>
    </xf>
    <xf numFmtId="0" fontId="2" fillId="0" borderId="2" xfId="0" applyFont="1" applyBorder="1" applyAlignment="1">
      <alignment wrapText="1"/>
    </xf>
    <xf numFmtId="0" fontId="2" fillId="0" borderId="13" xfId="0" applyFont="1" applyBorder="1" applyAlignment="1">
      <alignment wrapText="1"/>
    </xf>
    <xf numFmtId="171" fontId="2" fillId="0" borderId="2" xfId="0" applyNumberFormat="1" applyFont="1" applyBorder="1" applyAlignment="1">
      <alignment horizontal="center"/>
    </xf>
    <xf numFmtId="0" fontId="2" fillId="12" borderId="1" xfId="0" applyFont="1" applyFill="1" applyBorder="1"/>
    <xf numFmtId="0" fontId="4" fillId="0" borderId="3" xfId="0" applyFont="1" applyBorder="1" applyAlignment="1">
      <alignment vertical="center" wrapText="1"/>
    </xf>
    <xf numFmtId="0" fontId="2" fillId="0" borderId="14" xfId="0" applyFont="1" applyBorder="1" applyAlignment="1">
      <alignment horizontal="center"/>
    </xf>
    <xf numFmtId="0" fontId="2" fillId="0" borderId="10" xfId="0" applyFont="1" applyBorder="1" applyAlignment="1">
      <alignment horizontal="center"/>
    </xf>
    <xf numFmtId="0" fontId="2" fillId="13" borderId="0" xfId="0" applyFont="1" applyFill="1" applyAlignment="1">
      <alignment horizontal="left"/>
    </xf>
    <xf numFmtId="0" fontId="2" fillId="0" borderId="12" xfId="0" applyFont="1" applyBorder="1" applyAlignment="1">
      <alignment horizontal="center"/>
    </xf>
    <xf numFmtId="171" fontId="2" fillId="0" borderId="2" xfId="0" applyNumberFormat="1" applyFont="1" applyBorder="1" applyAlignment="1">
      <alignment horizontal="center" wrapText="1"/>
    </xf>
    <xf numFmtId="171" fontId="2" fillId="0" borderId="2" xfId="0" applyNumberFormat="1" applyFont="1" applyBorder="1" applyAlignment="1">
      <alignment wrapText="1"/>
    </xf>
    <xf numFmtId="171" fontId="2" fillId="0" borderId="13" xfId="0" applyNumberFormat="1" applyFont="1" applyBorder="1" applyAlignment="1">
      <alignment horizontal="center" wrapText="1"/>
    </xf>
    <xf numFmtId="0" fontId="4" fillId="0" borderId="3" xfId="0" applyFont="1" applyBorder="1" applyAlignment="1">
      <alignment horizontal="center" vertical="center"/>
    </xf>
    <xf numFmtId="0" fontId="2" fillId="0" borderId="14" xfId="0" applyFont="1" applyBorder="1"/>
    <xf numFmtId="171" fontId="4" fillId="0" borderId="0" xfId="0" applyNumberFormat="1" applyFont="1" applyAlignment="1">
      <alignment horizontal="center" vertical="center"/>
    </xf>
    <xf numFmtId="171" fontId="4" fillId="0" borderId="1" xfId="0" applyNumberFormat="1" applyFont="1" applyBorder="1" applyAlignment="1">
      <alignment horizontal="center" vertical="center"/>
    </xf>
    <xf numFmtId="170" fontId="2" fillId="0" borderId="13" xfId="0" applyNumberFormat="1" applyFont="1" applyBorder="1" applyAlignment="1">
      <alignment horizontal="center"/>
    </xf>
    <xf numFmtId="171" fontId="4" fillId="0" borderId="3" xfId="0" applyNumberFormat="1" applyFont="1" applyBorder="1" applyAlignment="1">
      <alignment horizontal="center" vertical="center"/>
    </xf>
    <xf numFmtId="0" fontId="2" fillId="0" borderId="1" xfId="0" applyFont="1" applyBorder="1" applyAlignment="1">
      <alignment horizontal="right" wrapText="1"/>
    </xf>
    <xf numFmtId="0" fontId="2" fillId="0" borderId="3" xfId="0" applyFont="1" applyBorder="1" applyAlignment="1">
      <alignment horizontal="right" wrapText="1"/>
    </xf>
    <xf numFmtId="0" fontId="2" fillId="0" borderId="5" xfId="0" applyFont="1" applyBorder="1" applyAlignment="1">
      <alignment horizontal="center" vertical="center" wrapText="1"/>
    </xf>
    <xf numFmtId="0" fontId="2" fillId="0" borderId="2" xfId="0" applyFont="1" applyBorder="1"/>
    <xf numFmtId="0" fontId="4" fillId="0" borderId="2" xfId="0" applyFont="1" applyBorder="1" applyAlignment="1">
      <alignment vertical="center"/>
    </xf>
    <xf numFmtId="0" fontId="4" fillId="0" borderId="1" xfId="0" applyFont="1" applyBorder="1" applyAlignment="1">
      <alignment horizontal="right" wrapText="1"/>
    </xf>
    <xf numFmtId="0" fontId="1" fillId="14" borderId="1" xfId="0" applyFont="1" applyFill="1" applyBorder="1"/>
    <xf numFmtId="0" fontId="4" fillId="0" borderId="5" xfId="0" applyFont="1" applyBorder="1" applyAlignment="1">
      <alignment vertical="center"/>
    </xf>
    <xf numFmtId="0" fontId="2" fillId="0" borderId="1" xfId="0" applyFont="1" applyBorder="1" applyAlignment="1">
      <alignment horizontal="left"/>
    </xf>
    <xf numFmtId="0" fontId="1" fillId="0" borderId="1" xfId="0" applyFont="1" applyBorder="1"/>
    <xf numFmtId="0" fontId="4" fillId="0" borderId="1" xfId="0" applyFont="1" applyBorder="1" applyAlignment="1">
      <alignment wrapText="1"/>
    </xf>
    <xf numFmtId="0" fontId="5" fillId="0" borderId="0" xfId="0" applyFont="1" applyAlignment="1">
      <alignment horizontal="center" vertical="center" wrapText="1"/>
    </xf>
    <xf numFmtId="0" fontId="5" fillId="0" borderId="3" xfId="0" applyFont="1" applyBorder="1" applyAlignment="1">
      <alignment horizontal="center"/>
    </xf>
    <xf numFmtId="0" fontId="2" fillId="0" borderId="2" xfId="0" applyFont="1" applyBorder="1" applyAlignment="1">
      <alignment horizontal="left"/>
    </xf>
    <xf numFmtId="0" fontId="2" fillId="0" borderId="0" xfId="0" applyFont="1" applyAlignment="1">
      <alignment wrapText="1"/>
    </xf>
    <xf numFmtId="0" fontId="2" fillId="0" borderId="0" xfId="0" applyFont="1" applyAlignment="1">
      <alignment horizontal="left"/>
    </xf>
    <xf numFmtId="0" fontId="4" fillId="0" borderId="7" xfId="0" applyFont="1" applyBorder="1" applyAlignment="1">
      <alignment vertical="center"/>
    </xf>
    <xf numFmtId="0" fontId="4" fillId="0" borderId="0" xfId="0" applyFont="1" applyAlignment="1">
      <alignment vertical="center"/>
    </xf>
    <xf numFmtId="0" fontId="4" fillId="0" borderId="11" xfId="0" applyFont="1" applyBorder="1" applyAlignment="1">
      <alignment horizontal="center" vertical="center"/>
    </xf>
    <xf numFmtId="0" fontId="1" fillId="0" borderId="11" xfId="0" applyFont="1" applyBorder="1" applyAlignment="1">
      <alignment horizontal="center"/>
    </xf>
    <xf numFmtId="0" fontId="1" fillId="0" borderId="3" xfId="0" applyFont="1" applyBorder="1" applyAlignment="1">
      <alignment horizontal="center"/>
    </xf>
    <xf numFmtId="0" fontId="1" fillId="0" borderId="3" xfId="0" applyFont="1" applyBorder="1" applyAlignment="1">
      <alignment horizontal="center" vertical="center" wrapText="1"/>
    </xf>
  </cellXfs>
  <cellStyles count="1">
    <cellStyle name="Normal" xfId="0" builtinId="0"/>
  </cellStyles>
  <dxfs count="1">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308CF3-0486-41E7-BDD5-AB57302B7BA5}">
  <dimension ref="A1:EA1000"/>
  <sheetViews>
    <sheetView tabSelected="1" workbookViewId="0">
      <pane xSplit="1" ySplit="4" topLeftCell="B5" activePane="bottomRight" state="frozen"/>
      <selection pane="topRight" activeCell="B1" sqref="B1"/>
      <selection pane="bottomLeft" activeCell="A5" sqref="A5"/>
      <selection pane="bottomRight" activeCell="B18" sqref="B18"/>
    </sheetView>
  </sheetViews>
  <sheetFormatPr baseColWidth="10" defaultRowHeight="14.4" x14ac:dyDescent="0.3"/>
  <cols>
    <col min="1" max="1" width="40.44140625" style="5" customWidth="1"/>
    <col min="2" max="2" width="34.109375" style="5" customWidth="1"/>
    <col min="3" max="3" width="30.6640625" style="5" customWidth="1"/>
    <col min="4" max="4" width="37.109375" style="5" customWidth="1"/>
    <col min="5" max="5" width="29.109375" style="5" customWidth="1"/>
    <col min="6" max="6" width="34.5546875" style="5" customWidth="1"/>
    <col min="7" max="7" width="36.88671875" style="5" customWidth="1"/>
    <col min="8" max="8" width="35.33203125" style="5" customWidth="1"/>
    <col min="9" max="9" width="29.5546875" style="5" customWidth="1"/>
    <col min="10" max="10" width="32.6640625" style="5" customWidth="1"/>
    <col min="11" max="11" width="30" style="5" customWidth="1"/>
    <col min="12" max="12" width="32" style="5" customWidth="1"/>
    <col min="13" max="13" width="30.6640625" style="5" customWidth="1"/>
    <col min="14" max="14" width="28" style="5" customWidth="1"/>
    <col min="15" max="15" width="28.44140625" style="5" customWidth="1"/>
    <col min="16" max="16" width="36.33203125" style="5" customWidth="1"/>
    <col min="17" max="17" width="28.33203125" style="5" customWidth="1"/>
    <col min="18" max="18" width="28.5546875" style="5" customWidth="1"/>
    <col min="19" max="19" width="26.33203125" style="5" customWidth="1"/>
    <col min="20" max="20" width="24.109375" style="5" customWidth="1"/>
    <col min="21" max="22" width="28.109375" style="5" customWidth="1"/>
    <col min="23" max="23" width="28.44140625" style="5" customWidth="1"/>
    <col min="24" max="24" width="23.109375" style="5" customWidth="1"/>
    <col min="25" max="25" width="23.6640625" style="5" customWidth="1"/>
    <col min="26" max="26" width="26.6640625" style="5" customWidth="1"/>
    <col min="27" max="27" width="24.109375" style="5" customWidth="1"/>
    <col min="28" max="28" width="28.44140625" style="5" customWidth="1"/>
    <col min="29" max="29" width="24.6640625" style="5" customWidth="1"/>
    <col min="30" max="30" width="25.33203125" style="5" customWidth="1"/>
    <col min="31" max="31" width="25" style="5" customWidth="1"/>
    <col min="32" max="32" width="26.109375" style="5" customWidth="1"/>
    <col min="33" max="33" width="22.44140625" style="5" customWidth="1"/>
    <col min="34" max="34" width="25.109375" style="5" customWidth="1"/>
    <col min="35" max="35" width="50.6640625" style="5" customWidth="1"/>
    <col min="36" max="36" width="31.33203125" style="5" customWidth="1"/>
    <col min="37" max="37" width="41.5546875" style="5" customWidth="1"/>
    <col min="38" max="38" width="32.88671875" style="5" customWidth="1"/>
    <col min="39" max="39" width="30" style="5" customWidth="1"/>
    <col min="40" max="40" width="39" style="5" customWidth="1"/>
    <col min="41" max="41" width="26.44140625" style="5" customWidth="1"/>
    <col min="42" max="42" width="36.88671875" style="5" customWidth="1"/>
    <col min="43" max="43" width="27.6640625" style="5" customWidth="1"/>
    <col min="44" max="44" width="31.33203125" style="5" customWidth="1"/>
    <col min="45" max="45" width="25.6640625" style="5" customWidth="1"/>
    <col min="46" max="46" width="26.44140625" style="5" customWidth="1"/>
    <col min="47" max="48" width="37.33203125" style="5" customWidth="1"/>
    <col min="49" max="49" width="25.33203125" style="5" customWidth="1"/>
    <col min="50" max="50" width="31.33203125" style="5" customWidth="1"/>
    <col min="51" max="51" width="35.109375" style="5" customWidth="1"/>
    <col min="52" max="52" width="35.5546875" style="5" customWidth="1"/>
    <col min="53" max="53" width="36" style="5" customWidth="1"/>
    <col min="54" max="54" width="35" style="5" customWidth="1"/>
    <col min="55" max="55" width="37.5546875" style="5" customWidth="1"/>
    <col min="56" max="56" width="28" style="5" customWidth="1"/>
    <col min="57" max="57" width="31.44140625" style="5" customWidth="1"/>
    <col min="58" max="58" width="28" style="5" customWidth="1"/>
    <col min="59" max="59" width="32.33203125" style="5" customWidth="1"/>
    <col min="60" max="60" width="28.44140625" style="5" customWidth="1"/>
    <col min="61" max="62" width="31" style="5" customWidth="1"/>
    <col min="63" max="63" width="28.33203125" style="5" customWidth="1"/>
    <col min="64" max="64" width="28.44140625" style="5" customWidth="1"/>
    <col min="65" max="66" width="27.88671875" style="5" customWidth="1"/>
    <col min="67" max="67" width="27.6640625" style="5" customWidth="1"/>
    <col min="68" max="68" width="29" style="5" customWidth="1"/>
    <col min="69" max="69" width="26.109375" style="5" customWidth="1"/>
    <col min="70" max="70" width="23.6640625" style="5" customWidth="1"/>
    <col min="71" max="71" width="25.33203125" style="5" customWidth="1"/>
    <col min="72" max="72" width="29.5546875" style="5" customWidth="1"/>
    <col min="73" max="74" width="29.33203125" style="5" customWidth="1"/>
    <col min="75" max="75" width="33" style="5" customWidth="1"/>
    <col min="76" max="76" width="35.6640625" style="5" customWidth="1"/>
    <col min="77" max="77" width="24.44140625" style="5" customWidth="1"/>
    <col min="78" max="78" width="39.88671875" style="5" customWidth="1"/>
    <col min="79" max="79" width="28.88671875" style="5" customWidth="1"/>
    <col min="80" max="80" width="24.33203125" style="5" customWidth="1"/>
    <col min="81" max="81" width="31.44140625" style="5" customWidth="1"/>
    <col min="82" max="82" width="35.88671875" style="5" customWidth="1"/>
    <col min="83" max="83" width="27" style="5" customWidth="1"/>
    <col min="84" max="84" width="36.5546875" style="5" customWidth="1"/>
    <col min="85" max="85" width="32.44140625" style="5" customWidth="1"/>
    <col min="86" max="86" width="32.33203125" style="5" customWidth="1"/>
    <col min="87" max="87" width="33.44140625" style="5" customWidth="1"/>
    <col min="88" max="88" width="30.44140625" style="5" customWidth="1"/>
    <col min="89" max="89" width="24.88671875" style="5" customWidth="1"/>
    <col min="90" max="90" width="27.6640625" style="5" customWidth="1"/>
    <col min="91" max="91" width="22.5546875" style="5" customWidth="1"/>
    <col min="92" max="92" width="25.44140625" style="5" customWidth="1"/>
    <col min="93" max="93" width="28.88671875" style="5" customWidth="1"/>
    <col min="94" max="94" width="37.5546875" style="5" customWidth="1"/>
    <col min="95" max="95" width="32.44140625" style="5" customWidth="1"/>
    <col min="96" max="96" width="27.109375" style="5" customWidth="1"/>
    <col min="97" max="97" width="27.6640625" style="5" customWidth="1"/>
    <col min="98" max="98" width="28.5546875" style="5" customWidth="1"/>
    <col min="99" max="99" width="24.5546875" style="5" customWidth="1"/>
    <col min="100" max="100" width="29.33203125" style="5" customWidth="1"/>
    <col min="101" max="101" width="33" style="5" customWidth="1"/>
    <col min="102" max="102" width="31.109375" style="5" customWidth="1"/>
    <col min="103" max="103" width="28.5546875" style="5" customWidth="1"/>
    <col min="104" max="104" width="27.5546875" style="5" customWidth="1"/>
    <col min="105" max="105" width="28.33203125" style="5" customWidth="1"/>
    <col min="106" max="106" width="31" style="5" customWidth="1"/>
    <col min="107" max="107" width="27" style="5" customWidth="1"/>
    <col min="108" max="108" width="27.44140625" style="5" customWidth="1"/>
    <col min="109" max="109" width="31.5546875" style="5" customWidth="1"/>
    <col min="110" max="110" width="24.44140625" style="5" customWidth="1"/>
    <col min="111" max="111" width="27" style="5" customWidth="1"/>
    <col min="112" max="112" width="21.6640625" style="5" customWidth="1"/>
    <col min="113" max="113" width="31.33203125" style="5" customWidth="1"/>
    <col min="114" max="114" width="32.33203125" style="5" customWidth="1"/>
    <col min="115" max="115" width="29.109375" style="5" customWidth="1"/>
    <col min="116" max="116" width="31.5546875" style="5" customWidth="1"/>
    <col min="117" max="117" width="34.6640625" style="5" customWidth="1"/>
    <col min="118" max="118" width="31.88671875" style="5" customWidth="1"/>
    <col min="119" max="119" width="32.44140625" style="5" customWidth="1"/>
    <col min="120" max="120" width="33" style="5" customWidth="1"/>
    <col min="121" max="121" width="32.109375" style="5" customWidth="1"/>
    <col min="122" max="122" width="30.33203125" style="5" customWidth="1"/>
    <col min="123" max="123" width="31.44140625" style="5" customWidth="1"/>
    <col min="124" max="124" width="26.6640625" style="5" customWidth="1"/>
    <col min="125" max="125" width="25.88671875" style="5" customWidth="1"/>
    <col min="126" max="126" width="30.6640625" style="5" customWidth="1"/>
    <col min="127" max="127" width="20.88671875" style="5" customWidth="1"/>
    <col min="128" max="128" width="23.109375" style="5" customWidth="1"/>
    <col min="129" max="129" width="29.88671875" style="5" customWidth="1"/>
    <col min="130" max="130" width="31.6640625" style="5" customWidth="1"/>
    <col min="131" max="131" width="27.88671875" style="5" customWidth="1"/>
    <col min="132" max="16384" width="11.5546875" style="5"/>
  </cols>
  <sheetData>
    <row r="1" spans="1:131" x14ac:dyDescent="0.3">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3" t="s">
        <v>1</v>
      </c>
      <c r="AJ1" s="3" t="s">
        <v>2</v>
      </c>
      <c r="AK1" s="3" t="s">
        <v>3</v>
      </c>
      <c r="AL1" s="3" t="s">
        <v>4</v>
      </c>
      <c r="AM1" s="3" t="s">
        <v>5</v>
      </c>
      <c r="AN1" s="3" t="s">
        <v>6</v>
      </c>
      <c r="AO1" s="3" t="s">
        <v>7</v>
      </c>
      <c r="AP1" s="3" t="s">
        <v>8</v>
      </c>
      <c r="AQ1" s="3" t="s">
        <v>9</v>
      </c>
      <c r="AR1" s="3" t="s">
        <v>10</v>
      </c>
      <c r="AS1" s="3" t="s">
        <v>11</v>
      </c>
      <c r="AT1" s="3" t="s">
        <v>12</v>
      </c>
      <c r="AU1" s="3" t="s">
        <v>13</v>
      </c>
      <c r="AV1" s="3" t="s">
        <v>14</v>
      </c>
      <c r="AW1" s="3" t="s">
        <v>15</v>
      </c>
      <c r="AX1" s="3" t="s">
        <v>16</v>
      </c>
      <c r="AY1" s="3" t="s">
        <v>17</v>
      </c>
      <c r="AZ1" s="3" t="s">
        <v>18</v>
      </c>
      <c r="BA1" s="3" t="s">
        <v>19</v>
      </c>
      <c r="BB1" s="3" t="s">
        <v>20</v>
      </c>
      <c r="BC1" s="3" t="s">
        <v>21</v>
      </c>
      <c r="BD1" s="3" t="s">
        <v>22</v>
      </c>
      <c r="BE1" s="3" t="s">
        <v>23</v>
      </c>
      <c r="BF1" s="3" t="s">
        <v>24</v>
      </c>
      <c r="BG1" s="3" t="s">
        <v>25</v>
      </c>
      <c r="BH1" s="3" t="s">
        <v>26</v>
      </c>
      <c r="BI1" s="3" t="s">
        <v>27</v>
      </c>
      <c r="BJ1" s="3" t="s">
        <v>28</v>
      </c>
      <c r="BK1" s="3" t="s">
        <v>29</v>
      </c>
      <c r="BL1" s="3" t="s">
        <v>30</v>
      </c>
      <c r="BM1" s="3" t="s">
        <v>31</v>
      </c>
      <c r="BN1" s="3" t="s">
        <v>32</v>
      </c>
      <c r="BO1" s="3" t="s">
        <v>33</v>
      </c>
      <c r="BP1" s="4" t="s">
        <v>1</v>
      </c>
      <c r="BQ1" s="4" t="s">
        <v>2</v>
      </c>
      <c r="BR1" s="4" t="s">
        <v>3</v>
      </c>
      <c r="BS1" s="4" t="s">
        <v>4</v>
      </c>
      <c r="BT1" s="4" t="s">
        <v>5</v>
      </c>
      <c r="BU1" s="4" t="s">
        <v>6</v>
      </c>
      <c r="BV1" s="4" t="s">
        <v>7</v>
      </c>
      <c r="BW1" s="4" t="s">
        <v>8</v>
      </c>
      <c r="BX1" s="4" t="s">
        <v>9</v>
      </c>
      <c r="BY1" s="4" t="s">
        <v>10</v>
      </c>
      <c r="BZ1" s="4" t="s">
        <v>11</v>
      </c>
      <c r="CA1" s="4" t="s">
        <v>12</v>
      </c>
      <c r="CB1" s="4" t="s">
        <v>13</v>
      </c>
      <c r="CC1" s="4" t="s">
        <v>14</v>
      </c>
      <c r="CD1" s="4" t="s">
        <v>15</v>
      </c>
      <c r="CE1" s="4" t="s">
        <v>16</v>
      </c>
      <c r="CF1" s="4" t="s">
        <v>17</v>
      </c>
      <c r="CG1" s="4" t="s">
        <v>18</v>
      </c>
      <c r="CH1" s="4" t="s">
        <v>19</v>
      </c>
      <c r="CI1" s="4" t="s">
        <v>20</v>
      </c>
      <c r="CJ1" s="4" t="s">
        <v>21</v>
      </c>
      <c r="CK1" s="4" t="s">
        <v>22</v>
      </c>
      <c r="CL1" s="4" t="s">
        <v>23</v>
      </c>
      <c r="CM1" s="4" t="s">
        <v>24</v>
      </c>
      <c r="CN1" s="4" t="s">
        <v>25</v>
      </c>
      <c r="CO1" s="4" t="s">
        <v>26</v>
      </c>
      <c r="CP1" s="4" t="s">
        <v>27</v>
      </c>
      <c r="CQ1" s="4" t="s">
        <v>28</v>
      </c>
      <c r="CR1" s="4" t="s">
        <v>29</v>
      </c>
      <c r="CS1" s="4" t="s">
        <v>30</v>
      </c>
      <c r="CT1" s="4" t="s">
        <v>31</v>
      </c>
      <c r="CU1" s="4" t="s">
        <v>32</v>
      </c>
      <c r="CV1" s="4" t="s">
        <v>1</v>
      </c>
      <c r="CW1" s="4" t="s">
        <v>2</v>
      </c>
      <c r="CX1" s="4" t="s">
        <v>3</v>
      </c>
      <c r="CY1" s="4" t="s">
        <v>4</v>
      </c>
      <c r="CZ1" s="4" t="s">
        <v>5</v>
      </c>
      <c r="DA1" s="4" t="s">
        <v>6</v>
      </c>
      <c r="DB1" s="4" t="s">
        <v>7</v>
      </c>
      <c r="DC1" s="4" t="s">
        <v>8</v>
      </c>
      <c r="DD1" s="4" t="s">
        <v>9</v>
      </c>
      <c r="DE1" s="4" t="s">
        <v>10</v>
      </c>
      <c r="DF1" s="4" t="s">
        <v>11</v>
      </c>
      <c r="DG1" s="4" t="s">
        <v>12</v>
      </c>
      <c r="DH1" s="4" t="s">
        <v>13</v>
      </c>
      <c r="DI1" s="4" t="s">
        <v>14</v>
      </c>
      <c r="DJ1" s="4" t="s">
        <v>15</v>
      </c>
      <c r="DK1" s="4" t="s">
        <v>16</v>
      </c>
      <c r="DL1" s="4" t="s">
        <v>17</v>
      </c>
      <c r="DM1" s="4" t="s">
        <v>18</v>
      </c>
      <c r="DN1" s="4" t="s">
        <v>19</v>
      </c>
      <c r="DO1" s="4" t="s">
        <v>20</v>
      </c>
      <c r="DP1" s="4" t="s">
        <v>21</v>
      </c>
      <c r="DQ1" s="4" t="s">
        <v>22</v>
      </c>
      <c r="DR1" s="4" t="s">
        <v>23</v>
      </c>
      <c r="DS1" s="4" t="s">
        <v>24</v>
      </c>
      <c r="DT1" s="4" t="s">
        <v>25</v>
      </c>
      <c r="DU1" s="4" t="s">
        <v>26</v>
      </c>
      <c r="DV1" s="4" t="s">
        <v>27</v>
      </c>
      <c r="DW1" s="4" t="s">
        <v>28</v>
      </c>
      <c r="DX1" s="4" t="s">
        <v>29</v>
      </c>
      <c r="DY1" s="4" t="s">
        <v>30</v>
      </c>
      <c r="DZ1" s="4" t="s">
        <v>31</v>
      </c>
      <c r="EA1" s="4" t="s">
        <v>32</v>
      </c>
    </row>
    <row r="2" spans="1:131" ht="28.8" x14ac:dyDescent="0.3">
      <c r="A2" s="6" t="s">
        <v>34</v>
      </c>
      <c r="B2" s="7" t="s">
        <v>35</v>
      </c>
      <c r="C2" s="8" t="s">
        <v>36</v>
      </c>
      <c r="D2" s="7" t="s">
        <v>37</v>
      </c>
      <c r="E2" s="8" t="s">
        <v>38</v>
      </c>
      <c r="F2" s="7" t="s">
        <v>39</v>
      </c>
      <c r="G2" s="7" t="s">
        <v>40</v>
      </c>
      <c r="H2" s="8" t="s">
        <v>41</v>
      </c>
      <c r="I2" s="8" t="s">
        <v>42</v>
      </c>
      <c r="J2" s="7" t="s">
        <v>43</v>
      </c>
      <c r="K2" s="7" t="s">
        <v>44</v>
      </c>
      <c r="L2" s="7" t="s">
        <v>45</v>
      </c>
      <c r="M2" s="7" t="s">
        <v>46</v>
      </c>
      <c r="N2" s="7" t="s">
        <v>47</v>
      </c>
      <c r="O2" s="7" t="s">
        <v>48</v>
      </c>
      <c r="P2" s="8" t="s">
        <v>49</v>
      </c>
      <c r="Q2" s="7" t="s">
        <v>50</v>
      </c>
      <c r="R2" s="8" t="s">
        <v>51</v>
      </c>
      <c r="S2" s="9" t="s">
        <v>52</v>
      </c>
      <c r="T2" s="7" t="s">
        <v>53</v>
      </c>
      <c r="U2" s="8" t="s">
        <v>54</v>
      </c>
      <c r="V2" s="7" t="s">
        <v>55</v>
      </c>
      <c r="W2" s="8" t="s">
        <v>56</v>
      </c>
      <c r="X2" s="10" t="s">
        <v>57</v>
      </c>
      <c r="Y2" s="10" t="s">
        <v>58</v>
      </c>
      <c r="Z2" s="10" t="s">
        <v>59</v>
      </c>
      <c r="AA2" s="10" t="s">
        <v>60</v>
      </c>
      <c r="AB2" s="10" t="s">
        <v>61</v>
      </c>
      <c r="AC2" s="10" t="s">
        <v>62</v>
      </c>
      <c r="AD2" s="10" t="s">
        <v>63</v>
      </c>
      <c r="AE2" s="10" t="s">
        <v>64</v>
      </c>
      <c r="AF2" s="10" t="s">
        <v>65</v>
      </c>
      <c r="AG2" s="10" t="s">
        <v>66</v>
      </c>
      <c r="AH2" s="7" t="s">
        <v>67</v>
      </c>
      <c r="AI2" s="7" t="s">
        <v>68</v>
      </c>
      <c r="AJ2" s="7" t="s">
        <v>69</v>
      </c>
      <c r="AK2" s="8" t="s">
        <v>70</v>
      </c>
      <c r="AL2" s="7" t="s">
        <v>71</v>
      </c>
      <c r="AM2" s="8" t="s">
        <v>72</v>
      </c>
      <c r="AN2" s="8" t="s">
        <v>73</v>
      </c>
      <c r="AO2" s="8" t="s">
        <v>74</v>
      </c>
      <c r="AP2" s="11" t="s">
        <v>75</v>
      </c>
      <c r="AQ2" s="7" t="s">
        <v>76</v>
      </c>
      <c r="AR2" s="7" t="s">
        <v>77</v>
      </c>
      <c r="AS2" s="8" t="s">
        <v>78</v>
      </c>
      <c r="AT2" s="8" t="s">
        <v>79</v>
      </c>
      <c r="AU2" s="7" t="s">
        <v>80</v>
      </c>
      <c r="AV2" s="12" t="s">
        <v>81</v>
      </c>
      <c r="AW2" s="8" t="s">
        <v>82</v>
      </c>
      <c r="AX2" s="7" t="s">
        <v>83</v>
      </c>
      <c r="AY2" s="7" t="s">
        <v>84</v>
      </c>
      <c r="AZ2" s="7" t="s">
        <v>85</v>
      </c>
      <c r="BA2" s="7" t="s">
        <v>86</v>
      </c>
      <c r="BB2" s="12" t="s">
        <v>87</v>
      </c>
      <c r="BC2" s="12" t="s">
        <v>88</v>
      </c>
      <c r="BD2" s="7" t="s">
        <v>89</v>
      </c>
      <c r="BE2" s="7" t="s">
        <v>90</v>
      </c>
      <c r="BF2" s="8" t="s">
        <v>91</v>
      </c>
      <c r="BG2" s="7" t="s">
        <v>92</v>
      </c>
      <c r="BH2" s="9" t="s">
        <v>93</v>
      </c>
      <c r="BI2" s="13" t="s">
        <v>94</v>
      </c>
      <c r="BJ2" s="7" t="s">
        <v>95</v>
      </c>
      <c r="BK2" s="10" t="s">
        <v>96</v>
      </c>
      <c r="BL2" s="10" t="s">
        <v>97</v>
      </c>
      <c r="BM2" s="10" t="s">
        <v>98</v>
      </c>
      <c r="BN2" s="10" t="s">
        <v>99</v>
      </c>
      <c r="BO2" s="10" t="s">
        <v>100</v>
      </c>
      <c r="BP2" s="7" t="s">
        <v>101</v>
      </c>
      <c r="BQ2" s="8" t="s">
        <v>102</v>
      </c>
      <c r="BR2" s="7" t="s">
        <v>103</v>
      </c>
      <c r="BS2" s="7" t="s">
        <v>104</v>
      </c>
      <c r="BT2" s="7" t="s">
        <v>105</v>
      </c>
      <c r="BU2" s="7" t="s">
        <v>106</v>
      </c>
      <c r="BV2" s="8" t="s">
        <v>107</v>
      </c>
      <c r="BW2" s="7" t="s">
        <v>108</v>
      </c>
      <c r="BX2" s="7" t="s">
        <v>109</v>
      </c>
      <c r="BY2" s="14" t="s">
        <v>110</v>
      </c>
      <c r="BZ2" s="7" t="s">
        <v>111</v>
      </c>
      <c r="CA2" s="8" t="s">
        <v>112</v>
      </c>
      <c r="CB2" s="7" t="s">
        <v>113</v>
      </c>
      <c r="CC2" s="7" t="s">
        <v>114</v>
      </c>
      <c r="CD2" s="7" t="s">
        <v>115</v>
      </c>
      <c r="CE2" s="11" t="s">
        <v>116</v>
      </c>
      <c r="CF2" s="11" t="s">
        <v>117</v>
      </c>
      <c r="CG2" s="7" t="s">
        <v>118</v>
      </c>
      <c r="CH2" s="7" t="s">
        <v>119</v>
      </c>
      <c r="CI2" s="7" t="s">
        <v>120</v>
      </c>
      <c r="CJ2" s="15" t="s">
        <v>121</v>
      </c>
      <c r="CK2" s="7" t="s">
        <v>122</v>
      </c>
      <c r="CL2" s="8" t="s">
        <v>123</v>
      </c>
      <c r="CM2" s="8" t="s">
        <v>124</v>
      </c>
      <c r="CN2" s="11" t="s">
        <v>125</v>
      </c>
      <c r="CO2" s="8" t="s">
        <v>126</v>
      </c>
      <c r="CP2" s="7" t="s">
        <v>127</v>
      </c>
      <c r="CQ2" s="7" t="s">
        <v>128</v>
      </c>
      <c r="CR2" s="8" t="s">
        <v>129</v>
      </c>
      <c r="CS2" s="7" t="s">
        <v>130</v>
      </c>
      <c r="CT2" s="10" t="s">
        <v>131</v>
      </c>
      <c r="CU2" s="10" t="s">
        <v>132</v>
      </c>
      <c r="CV2" s="16" t="s">
        <v>133</v>
      </c>
      <c r="CW2" s="16" t="s">
        <v>134</v>
      </c>
      <c r="CX2" s="10" t="s">
        <v>135</v>
      </c>
      <c r="CY2" s="10" t="s">
        <v>136</v>
      </c>
      <c r="CZ2" s="10" t="s">
        <v>137</v>
      </c>
      <c r="DA2" s="10" t="s">
        <v>138</v>
      </c>
      <c r="DB2" s="7" t="s">
        <v>139</v>
      </c>
      <c r="DC2" s="7" t="s">
        <v>140</v>
      </c>
      <c r="DD2" s="8" t="s">
        <v>141</v>
      </c>
      <c r="DE2" s="8" t="s">
        <v>142</v>
      </c>
      <c r="DF2" s="7" t="s">
        <v>143</v>
      </c>
      <c r="DG2" s="8" t="s">
        <v>144</v>
      </c>
      <c r="DH2" s="7" t="s">
        <v>145</v>
      </c>
      <c r="DI2" s="7" t="s">
        <v>146</v>
      </c>
      <c r="DJ2" s="10" t="s">
        <v>147</v>
      </c>
      <c r="DK2" s="7" t="s">
        <v>148</v>
      </c>
      <c r="DL2" s="7" t="s">
        <v>149</v>
      </c>
      <c r="DM2" s="7" t="s">
        <v>150</v>
      </c>
      <c r="DN2" s="7" t="s">
        <v>151</v>
      </c>
      <c r="DO2" s="8" t="s">
        <v>152</v>
      </c>
      <c r="DP2" s="7" t="s">
        <v>153</v>
      </c>
      <c r="DQ2" s="8" t="s">
        <v>154</v>
      </c>
      <c r="DR2" s="7" t="s">
        <v>155</v>
      </c>
      <c r="DS2" s="8" t="s">
        <v>156</v>
      </c>
      <c r="DT2" s="12" t="s">
        <v>157</v>
      </c>
      <c r="DU2" s="8" t="s">
        <v>158</v>
      </c>
      <c r="DV2" s="7" t="s">
        <v>159</v>
      </c>
      <c r="DW2" s="7" t="s">
        <v>160</v>
      </c>
      <c r="DX2" s="7" t="s">
        <v>161</v>
      </c>
      <c r="DY2" s="7" t="s">
        <v>162</v>
      </c>
      <c r="DZ2" s="10" t="s">
        <v>163</v>
      </c>
      <c r="EA2" s="10" t="s">
        <v>164</v>
      </c>
    </row>
    <row r="3" spans="1:131" x14ac:dyDescent="0.3">
      <c r="A3" s="6" t="s">
        <v>165</v>
      </c>
      <c r="B3" s="7">
        <v>4771236</v>
      </c>
      <c r="C3" s="7">
        <v>39623902</v>
      </c>
      <c r="D3" s="7">
        <v>25693683</v>
      </c>
      <c r="E3" s="7">
        <v>29774725</v>
      </c>
      <c r="F3" s="7">
        <v>1005979002</v>
      </c>
      <c r="G3" s="7">
        <v>106476394</v>
      </c>
      <c r="H3" s="7">
        <v>25693546</v>
      </c>
      <c r="I3" s="17">
        <v>31476021</v>
      </c>
      <c r="J3" s="17">
        <v>25694102</v>
      </c>
      <c r="K3" s="7">
        <v>1063810090</v>
      </c>
      <c r="L3" s="17">
        <v>4771164</v>
      </c>
      <c r="M3" s="17">
        <v>25702819</v>
      </c>
      <c r="N3" s="17">
        <v>25691306</v>
      </c>
      <c r="O3" s="17">
        <v>13039313</v>
      </c>
      <c r="P3" s="17">
        <v>25694177</v>
      </c>
      <c r="Q3" s="17">
        <v>1061770754</v>
      </c>
      <c r="R3" s="7">
        <v>25693801</v>
      </c>
      <c r="S3" s="18">
        <v>34547634</v>
      </c>
      <c r="T3" s="7">
        <v>4788173</v>
      </c>
      <c r="U3" s="7">
        <v>4771252</v>
      </c>
      <c r="V3" s="7">
        <v>10291060</v>
      </c>
      <c r="W3" s="7">
        <v>1806967</v>
      </c>
      <c r="X3" s="19">
        <v>4774379</v>
      </c>
      <c r="Y3" s="19">
        <v>10455131</v>
      </c>
      <c r="Z3" s="19">
        <v>4771199</v>
      </c>
      <c r="AA3" s="19">
        <v>4771279</v>
      </c>
      <c r="AB3" s="19">
        <v>16783793</v>
      </c>
      <c r="AC3" s="19">
        <v>52158097</v>
      </c>
      <c r="AD3" s="19">
        <v>34329981</v>
      </c>
      <c r="AE3" s="20" t="s">
        <v>166</v>
      </c>
      <c r="AF3" s="20" t="s">
        <v>167</v>
      </c>
      <c r="AG3" s="20" t="s">
        <v>168</v>
      </c>
      <c r="AH3" s="7">
        <v>11389333</v>
      </c>
      <c r="AI3" s="7">
        <v>76290011</v>
      </c>
      <c r="AJ3" s="7">
        <v>25693701</v>
      </c>
      <c r="AK3" s="17">
        <v>34485089</v>
      </c>
      <c r="AL3" s="7">
        <v>4787769</v>
      </c>
      <c r="AM3" s="7">
        <v>10545079</v>
      </c>
      <c r="AN3" s="7">
        <v>98341686</v>
      </c>
      <c r="AO3" s="7">
        <v>55163823</v>
      </c>
      <c r="AP3" s="8">
        <v>30688542</v>
      </c>
      <c r="AQ3" s="7">
        <v>34550554</v>
      </c>
      <c r="AR3" s="7">
        <v>10290755</v>
      </c>
      <c r="AS3" s="17">
        <v>76309539</v>
      </c>
      <c r="AT3" s="17">
        <v>76316673</v>
      </c>
      <c r="AU3" s="7">
        <v>4771314</v>
      </c>
      <c r="AV3" s="12">
        <v>76295922</v>
      </c>
      <c r="AW3" s="7">
        <v>76290042</v>
      </c>
      <c r="AX3" s="7">
        <v>25697112</v>
      </c>
      <c r="AY3" s="7">
        <v>1064676830</v>
      </c>
      <c r="AZ3" s="7">
        <v>1061698446</v>
      </c>
      <c r="BA3" s="7">
        <v>4771241</v>
      </c>
      <c r="BB3" s="12">
        <v>98341876</v>
      </c>
      <c r="BC3" s="21">
        <v>1002821603</v>
      </c>
      <c r="BD3" s="22">
        <v>4771399</v>
      </c>
      <c r="BE3" s="22">
        <v>10308477</v>
      </c>
      <c r="BF3" s="22">
        <v>1063817889</v>
      </c>
      <c r="BG3" s="22">
        <v>1060237416</v>
      </c>
      <c r="BH3" s="23">
        <v>34315870</v>
      </c>
      <c r="BI3" s="22">
        <v>76330564</v>
      </c>
      <c r="BJ3" s="7">
        <v>34562182</v>
      </c>
      <c r="BK3" s="20" t="s">
        <v>169</v>
      </c>
      <c r="BL3" s="20" t="s">
        <v>170</v>
      </c>
      <c r="BM3" s="20" t="s">
        <v>171</v>
      </c>
      <c r="BN3" s="20" t="s">
        <v>172</v>
      </c>
      <c r="BO3" s="20" t="s">
        <v>173</v>
      </c>
      <c r="BP3" s="22">
        <v>39793246</v>
      </c>
      <c r="BQ3" s="22">
        <v>48600036</v>
      </c>
      <c r="BR3" s="22">
        <v>25700280</v>
      </c>
      <c r="BS3" s="22">
        <v>34321845</v>
      </c>
      <c r="BT3" s="22">
        <v>34543947</v>
      </c>
      <c r="BU3" s="22">
        <v>16667705</v>
      </c>
      <c r="BV3" s="22">
        <v>4773045</v>
      </c>
      <c r="BW3" s="22">
        <v>1064676497</v>
      </c>
      <c r="BX3" s="17">
        <v>1061791193</v>
      </c>
      <c r="BY3" s="17">
        <v>1064677022</v>
      </c>
      <c r="BZ3" s="17">
        <v>1081702462</v>
      </c>
      <c r="CA3" s="17">
        <v>1517795</v>
      </c>
      <c r="CB3" s="17">
        <v>4773064</v>
      </c>
      <c r="CC3" s="17">
        <v>4771288</v>
      </c>
      <c r="CD3" s="17">
        <v>1061794141</v>
      </c>
      <c r="CE3" s="7">
        <v>1063809524</v>
      </c>
      <c r="CF3" s="7">
        <v>1063806941</v>
      </c>
      <c r="CG3" s="7">
        <v>4773002</v>
      </c>
      <c r="CH3" s="7">
        <v>76308041</v>
      </c>
      <c r="CI3" s="7">
        <v>4771230</v>
      </c>
      <c r="CJ3" s="7">
        <v>25290509</v>
      </c>
      <c r="CK3" s="7">
        <v>10532886</v>
      </c>
      <c r="CL3" s="7">
        <v>1061693094</v>
      </c>
      <c r="CM3" s="7">
        <v>26308173</v>
      </c>
      <c r="CN3" s="8">
        <v>1517686</v>
      </c>
      <c r="CO3" s="7">
        <v>4771187</v>
      </c>
      <c r="CP3" s="17">
        <v>10516112</v>
      </c>
      <c r="CQ3" s="17">
        <v>76314835</v>
      </c>
      <c r="CR3" s="7">
        <v>1061713441</v>
      </c>
      <c r="CS3" s="7">
        <v>1061706732</v>
      </c>
      <c r="CT3" s="20" t="s">
        <v>174</v>
      </c>
      <c r="CU3" s="20" t="s">
        <v>175</v>
      </c>
      <c r="CV3" s="24">
        <v>25693748</v>
      </c>
      <c r="CW3" s="24">
        <v>1061733459</v>
      </c>
      <c r="CX3" s="19">
        <v>4771096</v>
      </c>
      <c r="CY3" s="25">
        <v>76028835</v>
      </c>
      <c r="CZ3" s="19">
        <v>25706328</v>
      </c>
      <c r="DA3" s="19">
        <v>4771606</v>
      </c>
      <c r="DB3" s="7">
        <v>1064676728</v>
      </c>
      <c r="DC3" s="7">
        <v>34475112</v>
      </c>
      <c r="DD3" s="7">
        <v>25693772</v>
      </c>
      <c r="DE3" s="7">
        <v>1064676399</v>
      </c>
      <c r="DF3" s="7">
        <v>76030030</v>
      </c>
      <c r="DG3" s="7">
        <v>25693713</v>
      </c>
      <c r="DH3" s="13">
        <v>4771438</v>
      </c>
      <c r="DI3" s="7">
        <v>76296906</v>
      </c>
      <c r="DJ3" s="7">
        <v>1064676920</v>
      </c>
      <c r="DK3" s="17">
        <v>1064676291</v>
      </c>
      <c r="DL3" s="7">
        <v>1060238959</v>
      </c>
      <c r="DM3" s="7">
        <v>1064677004</v>
      </c>
      <c r="DN3" s="7">
        <v>1061746316</v>
      </c>
      <c r="DO3" s="7">
        <v>76290202</v>
      </c>
      <c r="DP3" s="7">
        <v>51786901</v>
      </c>
      <c r="DQ3" s="7">
        <v>10542047</v>
      </c>
      <c r="DR3" s="7">
        <v>48661808</v>
      </c>
      <c r="DS3" s="7">
        <v>98396591</v>
      </c>
      <c r="DT3" s="12">
        <v>10548542</v>
      </c>
      <c r="DU3" s="22">
        <v>1517789</v>
      </c>
      <c r="DV3" s="22">
        <v>76312936</v>
      </c>
      <c r="DW3" s="22">
        <v>351677</v>
      </c>
      <c r="DX3" s="22">
        <v>76284900</v>
      </c>
      <c r="DY3" s="22">
        <v>76306996</v>
      </c>
      <c r="DZ3" s="20" t="s">
        <v>176</v>
      </c>
      <c r="EA3" s="20" t="s">
        <v>177</v>
      </c>
    </row>
    <row r="4" spans="1:131" x14ac:dyDescent="0.3">
      <c r="A4" s="6" t="s">
        <v>178</v>
      </c>
      <c r="B4" s="7">
        <v>3127141413</v>
      </c>
      <c r="C4" s="7">
        <v>3128474371</v>
      </c>
      <c r="D4" s="7">
        <v>3103914168</v>
      </c>
      <c r="E4" s="7">
        <v>3182059325</v>
      </c>
      <c r="F4" s="7">
        <v>3165185588</v>
      </c>
      <c r="G4" s="7">
        <v>3117880079</v>
      </c>
      <c r="H4" s="7">
        <v>3161623030</v>
      </c>
      <c r="I4" s="7">
        <v>32155444444</v>
      </c>
      <c r="J4" s="7">
        <v>3153471963</v>
      </c>
      <c r="K4" s="7">
        <v>3127340763</v>
      </c>
      <c r="L4" s="7">
        <v>3104095395</v>
      </c>
      <c r="M4" s="7">
        <v>3137777431</v>
      </c>
      <c r="N4" s="7">
        <v>3127012652</v>
      </c>
      <c r="O4" s="7">
        <v>3135589741</v>
      </c>
      <c r="P4" s="7">
        <v>3127701347</v>
      </c>
      <c r="Q4" s="7">
        <v>3222709971</v>
      </c>
      <c r="R4" s="7">
        <v>3218905381</v>
      </c>
      <c r="S4" s="9">
        <v>3148763237</v>
      </c>
      <c r="T4" s="7">
        <v>31227185453</v>
      </c>
      <c r="U4" s="7">
        <v>3233656000</v>
      </c>
      <c r="V4" s="7">
        <v>3168206573</v>
      </c>
      <c r="W4" s="7">
        <v>3137725862</v>
      </c>
      <c r="X4" s="10">
        <v>3216440472</v>
      </c>
      <c r="Y4" s="10">
        <v>3216950829</v>
      </c>
      <c r="Z4" s="10">
        <v>3186035731</v>
      </c>
      <c r="AA4" s="10">
        <v>3127385562</v>
      </c>
      <c r="AB4" s="10">
        <v>3117121072</v>
      </c>
      <c r="AC4" s="10">
        <v>3122746235</v>
      </c>
      <c r="AD4" s="10">
        <v>3016321195</v>
      </c>
      <c r="AE4" s="7">
        <v>3113075683</v>
      </c>
      <c r="AF4" s="7">
        <v>3218926768</v>
      </c>
      <c r="AG4" s="7">
        <v>3154265983</v>
      </c>
      <c r="AH4" s="7">
        <v>3114340959</v>
      </c>
      <c r="AI4" s="7">
        <v>3117768318</v>
      </c>
      <c r="AJ4" s="7">
        <v>3132787562</v>
      </c>
      <c r="AK4" s="7">
        <v>3206465966</v>
      </c>
      <c r="AL4" s="7">
        <v>3207529997</v>
      </c>
      <c r="AM4" s="7">
        <v>3235773618</v>
      </c>
      <c r="AN4" s="7">
        <v>3108350417</v>
      </c>
      <c r="AO4" s="7">
        <v>3103924034</v>
      </c>
      <c r="AP4" s="7">
        <v>3116084673</v>
      </c>
      <c r="AQ4" s="7">
        <v>3146403148</v>
      </c>
      <c r="AR4" s="7">
        <v>3113504733</v>
      </c>
      <c r="AS4" s="7">
        <v>3119695969</v>
      </c>
      <c r="AT4" s="7">
        <v>3213891462</v>
      </c>
      <c r="AU4" s="7">
        <v>3127012652</v>
      </c>
      <c r="AV4" s="12">
        <v>3206507461</v>
      </c>
      <c r="AW4" s="7">
        <v>3145837512</v>
      </c>
      <c r="AX4" s="7">
        <v>3227705935</v>
      </c>
      <c r="AY4" s="7">
        <v>3145681441</v>
      </c>
      <c r="AZ4" s="7">
        <v>3234891470</v>
      </c>
      <c r="BA4" s="7">
        <v>3148835461</v>
      </c>
      <c r="BB4" s="12">
        <v>3137101082</v>
      </c>
      <c r="BC4" s="12">
        <v>3135923232</v>
      </c>
      <c r="BD4" s="7">
        <v>3113283717</v>
      </c>
      <c r="BE4" s="7">
        <v>3123732300</v>
      </c>
      <c r="BF4" s="7">
        <v>3215279072</v>
      </c>
      <c r="BG4" s="7">
        <v>3224088360</v>
      </c>
      <c r="BH4" s="9">
        <v>3122834901</v>
      </c>
      <c r="BI4" s="13">
        <v>3222589111</v>
      </c>
      <c r="BJ4" s="7">
        <v>3128027339</v>
      </c>
      <c r="BK4" s="7">
        <v>3148205892</v>
      </c>
      <c r="BL4" s="7">
        <v>3126512635</v>
      </c>
      <c r="BM4" s="7">
        <v>3105137765</v>
      </c>
      <c r="BN4" s="7">
        <v>3042896772</v>
      </c>
      <c r="BO4" s="7">
        <v>3226222786</v>
      </c>
      <c r="BP4" s="7">
        <v>3148240023</v>
      </c>
      <c r="BQ4" s="7">
        <v>3126725037</v>
      </c>
      <c r="BR4" s="7">
        <v>3207143770</v>
      </c>
      <c r="BS4" s="7">
        <v>3216069022</v>
      </c>
      <c r="BT4" s="7">
        <v>3117359009</v>
      </c>
      <c r="BU4" s="7">
        <v>3228436708</v>
      </c>
      <c r="BV4" s="7">
        <v>3206057313</v>
      </c>
      <c r="BW4" s="7">
        <v>3147783384</v>
      </c>
      <c r="BX4" s="7">
        <v>3127152493</v>
      </c>
      <c r="BY4" s="7">
        <v>3205224267</v>
      </c>
      <c r="BZ4" s="7">
        <v>3104860445</v>
      </c>
      <c r="CA4" s="7">
        <v>3117281181</v>
      </c>
      <c r="CB4" s="7">
        <v>3126725037</v>
      </c>
      <c r="CC4" s="7">
        <v>3128107254</v>
      </c>
      <c r="CD4" s="7">
        <v>3206472072</v>
      </c>
      <c r="CE4" s="7">
        <v>3233515877</v>
      </c>
      <c r="CF4" s="7">
        <v>3145754157</v>
      </c>
      <c r="CG4" s="7">
        <v>3207095162</v>
      </c>
      <c r="CH4" s="7">
        <v>3212883209</v>
      </c>
      <c r="CI4" s="7">
        <v>3128350092</v>
      </c>
      <c r="CJ4" s="7">
        <v>3128796058</v>
      </c>
      <c r="CK4" s="7">
        <v>3146732138</v>
      </c>
      <c r="CL4" s="7">
        <v>3217779023</v>
      </c>
      <c r="CM4" s="7">
        <v>3246336315</v>
      </c>
      <c r="CN4" s="7">
        <v>3135300317</v>
      </c>
      <c r="CO4" s="7">
        <v>3103929753</v>
      </c>
      <c r="CP4" s="7">
        <v>3122458087</v>
      </c>
      <c r="CQ4" s="7">
        <v>3212238016</v>
      </c>
      <c r="CR4" s="7">
        <v>3206560842</v>
      </c>
      <c r="CS4" s="7">
        <v>3235151776</v>
      </c>
      <c r="CT4" s="7">
        <v>3177569483</v>
      </c>
      <c r="CU4" s="7">
        <v>3008259227</v>
      </c>
      <c r="CV4" s="16">
        <v>3148629547</v>
      </c>
      <c r="CW4" s="16">
        <v>3192895933</v>
      </c>
      <c r="CX4" s="10">
        <v>3215880833</v>
      </c>
      <c r="CY4" s="10" t="s">
        <v>179</v>
      </c>
      <c r="CZ4" s="10">
        <v>3127480448</v>
      </c>
      <c r="DA4" s="10">
        <v>3235915930</v>
      </c>
      <c r="DB4" s="7">
        <v>3053520806</v>
      </c>
      <c r="DC4" s="7">
        <v>3137088748</v>
      </c>
      <c r="DD4" s="7">
        <v>3103810310</v>
      </c>
      <c r="DE4" s="7">
        <v>3113757534</v>
      </c>
      <c r="DF4" s="7">
        <v>3128221366</v>
      </c>
      <c r="DG4" s="7">
        <v>3188321559</v>
      </c>
      <c r="DH4" s="7">
        <v>3135583803</v>
      </c>
      <c r="DI4" s="7">
        <v>3127074700</v>
      </c>
      <c r="DJ4" s="20" t="s">
        <v>180</v>
      </c>
      <c r="DK4" s="7">
        <v>3219154176</v>
      </c>
      <c r="DL4" s="7">
        <v>3117341706</v>
      </c>
      <c r="DM4" s="7">
        <v>3218200219</v>
      </c>
      <c r="DN4" s="7">
        <v>3145969098</v>
      </c>
      <c r="DO4" s="7">
        <v>3202317426</v>
      </c>
      <c r="DP4" s="7">
        <v>3148835461</v>
      </c>
      <c r="DQ4" s="7">
        <v>3147667049</v>
      </c>
      <c r="DR4" s="7">
        <v>3135709856</v>
      </c>
      <c r="DS4" s="7">
        <v>3136712888</v>
      </c>
      <c r="DT4" s="12">
        <v>3127012652</v>
      </c>
      <c r="DU4" s="7">
        <v>3128881179</v>
      </c>
      <c r="DV4" s="7">
        <v>3117971736</v>
      </c>
      <c r="DW4" s="7">
        <v>3113296788</v>
      </c>
      <c r="DX4" s="7">
        <v>3154117449</v>
      </c>
      <c r="DY4" s="7">
        <v>3127012652</v>
      </c>
      <c r="DZ4" s="7">
        <v>3127898940</v>
      </c>
      <c r="EA4" s="7">
        <v>3145538366</v>
      </c>
    </row>
    <row r="5" spans="1:131" ht="28.8" x14ac:dyDescent="0.3">
      <c r="A5" s="6" t="s">
        <v>181</v>
      </c>
      <c r="B5" s="7"/>
      <c r="C5" s="7"/>
      <c r="D5" s="7"/>
      <c r="E5" s="7"/>
      <c r="F5" s="7"/>
      <c r="G5" s="7"/>
      <c r="H5" s="7"/>
      <c r="I5" s="7"/>
      <c r="J5" s="7"/>
      <c r="K5" s="7"/>
      <c r="L5" s="7"/>
      <c r="M5" s="7" t="s">
        <v>182</v>
      </c>
      <c r="N5" s="7"/>
      <c r="O5" s="7"/>
      <c r="P5" s="7" t="s">
        <v>183</v>
      </c>
      <c r="Q5" s="7" t="s">
        <v>184</v>
      </c>
      <c r="R5" s="7" t="s">
        <v>185</v>
      </c>
      <c r="S5" s="9"/>
      <c r="T5" s="7"/>
      <c r="U5" s="7" t="s">
        <v>186</v>
      </c>
      <c r="V5" s="7"/>
      <c r="W5" s="7"/>
      <c r="X5" s="26"/>
      <c r="Y5" s="26"/>
      <c r="Z5" s="26" t="s">
        <v>187</v>
      </c>
      <c r="AA5" s="26" t="s">
        <v>188</v>
      </c>
      <c r="AB5" s="26" t="s">
        <v>189</v>
      </c>
      <c r="AC5" s="26" t="s">
        <v>189</v>
      </c>
      <c r="AD5" s="26" t="s">
        <v>190</v>
      </c>
      <c r="AE5" s="7"/>
      <c r="AF5" s="7"/>
      <c r="AG5" s="7"/>
      <c r="AH5" s="7"/>
      <c r="AI5" s="7"/>
      <c r="AJ5" s="7" t="s">
        <v>191</v>
      </c>
      <c r="AK5" s="7"/>
      <c r="AL5" s="7" t="s">
        <v>192</v>
      </c>
      <c r="AM5" s="7"/>
      <c r="AN5" s="7" t="s">
        <v>193</v>
      </c>
      <c r="AO5" s="7" t="s">
        <v>194</v>
      </c>
      <c r="AP5" s="7" t="s">
        <v>195</v>
      </c>
      <c r="AQ5" s="7"/>
      <c r="AR5" s="7" t="s">
        <v>196</v>
      </c>
      <c r="AS5" s="7"/>
      <c r="AT5" s="7"/>
      <c r="AU5" s="7"/>
      <c r="AV5" s="12"/>
      <c r="AW5" s="7"/>
      <c r="AX5" s="7"/>
      <c r="AY5" s="7"/>
      <c r="AZ5" s="7"/>
      <c r="BA5" s="7"/>
      <c r="BB5" s="12"/>
      <c r="BC5" s="7" t="s">
        <v>197</v>
      </c>
      <c r="BD5" s="27"/>
      <c r="BE5" s="7"/>
      <c r="BF5" s="7" t="s">
        <v>198</v>
      </c>
      <c r="BG5" s="7" t="s">
        <v>199</v>
      </c>
      <c r="BH5" s="9"/>
      <c r="BI5" s="13"/>
      <c r="BJ5" s="7" t="s">
        <v>200</v>
      </c>
      <c r="BK5" s="7"/>
      <c r="BL5" s="7"/>
      <c r="BM5" s="7"/>
      <c r="BN5" s="7"/>
      <c r="BO5" s="7"/>
      <c r="BP5" s="7" t="s">
        <v>201</v>
      </c>
      <c r="BQ5" s="7" t="s">
        <v>202</v>
      </c>
      <c r="BR5" s="7"/>
      <c r="BS5" s="7" t="s">
        <v>203</v>
      </c>
      <c r="BT5" s="7" t="s">
        <v>204</v>
      </c>
      <c r="BU5" s="7" t="s">
        <v>205</v>
      </c>
      <c r="BV5" s="7"/>
      <c r="BW5" s="7"/>
      <c r="BX5" s="7" t="s">
        <v>206</v>
      </c>
      <c r="BY5" s="7"/>
      <c r="BZ5" s="7"/>
      <c r="CA5" s="7" t="s">
        <v>207</v>
      </c>
      <c r="CB5" s="7"/>
      <c r="CC5" s="7" t="s">
        <v>208</v>
      </c>
      <c r="CD5" s="7" t="s">
        <v>209</v>
      </c>
      <c r="CE5" s="7"/>
      <c r="CF5" s="7"/>
      <c r="CG5" s="7" t="s">
        <v>210</v>
      </c>
      <c r="CH5" s="7"/>
      <c r="CI5" s="7"/>
      <c r="CJ5" s="7" t="s">
        <v>211</v>
      </c>
      <c r="CK5" s="7"/>
      <c r="CL5" s="7" t="s">
        <v>212</v>
      </c>
      <c r="CM5" s="7"/>
      <c r="CN5" s="7" t="s">
        <v>213</v>
      </c>
      <c r="CO5" s="7"/>
      <c r="CP5" s="7" t="s">
        <v>214</v>
      </c>
      <c r="CQ5" s="7" t="s">
        <v>215</v>
      </c>
      <c r="CR5" s="7"/>
      <c r="CS5" s="7"/>
      <c r="CT5" s="7"/>
      <c r="CU5" s="7"/>
      <c r="CV5" s="28"/>
      <c r="CW5" s="28"/>
      <c r="CX5" s="26"/>
      <c r="CY5" s="26" t="s">
        <v>216</v>
      </c>
      <c r="CZ5" s="26"/>
      <c r="DA5" s="26"/>
      <c r="DB5" s="7"/>
      <c r="DC5" s="7"/>
      <c r="DD5" s="7"/>
      <c r="DE5" s="7"/>
      <c r="DF5" s="7"/>
      <c r="DG5" s="7"/>
      <c r="DH5" s="7"/>
      <c r="DI5" s="7"/>
      <c r="DJ5" s="7"/>
      <c r="DK5" s="7"/>
      <c r="DL5" s="7" t="s">
        <v>217</v>
      </c>
      <c r="DM5" s="7" t="s">
        <v>218</v>
      </c>
      <c r="DN5" s="7" t="s">
        <v>219</v>
      </c>
      <c r="DO5" s="7" t="s">
        <v>220</v>
      </c>
      <c r="DP5" s="7"/>
      <c r="DQ5" s="7" t="s">
        <v>221</v>
      </c>
      <c r="DR5" s="7"/>
      <c r="DS5" s="7"/>
      <c r="DT5" s="12" t="s">
        <v>222</v>
      </c>
      <c r="DU5" s="7" t="s">
        <v>223</v>
      </c>
      <c r="DV5" s="7"/>
      <c r="DW5" s="7"/>
      <c r="DX5" s="7" t="s">
        <v>224</v>
      </c>
      <c r="DY5" s="7"/>
      <c r="DZ5" s="7"/>
      <c r="EA5" s="7"/>
    </row>
    <row r="6" spans="1:131" x14ac:dyDescent="0.3">
      <c r="A6" s="6" t="s">
        <v>225</v>
      </c>
      <c r="B6" s="7" t="s">
        <v>226</v>
      </c>
      <c r="C6" s="7" t="s">
        <v>226</v>
      </c>
      <c r="D6" s="7" t="s">
        <v>226</v>
      </c>
      <c r="E6" s="7" t="s">
        <v>226</v>
      </c>
      <c r="F6" s="7" t="s">
        <v>226</v>
      </c>
      <c r="G6" s="7" t="s">
        <v>227</v>
      </c>
      <c r="H6" s="7" t="s">
        <v>226</v>
      </c>
      <c r="I6" s="7" t="s">
        <v>226</v>
      </c>
      <c r="J6" s="7" t="s">
        <v>226</v>
      </c>
      <c r="K6" s="7" t="s">
        <v>226</v>
      </c>
      <c r="L6" s="7" t="s">
        <v>226</v>
      </c>
      <c r="M6" s="7" t="s">
        <v>226</v>
      </c>
      <c r="N6" s="7" t="s">
        <v>226</v>
      </c>
      <c r="O6" s="7" t="s">
        <v>226</v>
      </c>
      <c r="P6" s="7" t="s">
        <v>226</v>
      </c>
      <c r="Q6" s="7" t="s">
        <v>226</v>
      </c>
      <c r="R6" s="7" t="s">
        <v>226</v>
      </c>
      <c r="S6" s="9" t="s">
        <v>226</v>
      </c>
      <c r="T6" s="7" t="s">
        <v>226</v>
      </c>
      <c r="U6" s="7" t="s">
        <v>226</v>
      </c>
      <c r="V6" s="7" t="s">
        <v>226</v>
      </c>
      <c r="W6" s="7" t="s">
        <v>226</v>
      </c>
      <c r="X6" s="10" t="s">
        <v>226</v>
      </c>
      <c r="Y6" s="10" t="s">
        <v>226</v>
      </c>
      <c r="Z6" s="10" t="s">
        <v>226</v>
      </c>
      <c r="AA6" s="10" t="s">
        <v>226</v>
      </c>
      <c r="AB6" s="10" t="s">
        <v>226</v>
      </c>
      <c r="AC6" s="10" t="s">
        <v>226</v>
      </c>
      <c r="AD6" s="10" t="s">
        <v>226</v>
      </c>
      <c r="AE6" s="7" t="s">
        <v>226</v>
      </c>
      <c r="AF6" s="7" t="s">
        <v>226</v>
      </c>
      <c r="AG6" s="7" t="s">
        <v>226</v>
      </c>
      <c r="AH6" s="7" t="s">
        <v>226</v>
      </c>
      <c r="AI6" s="7" t="s">
        <v>226</v>
      </c>
      <c r="AJ6" s="7" t="s">
        <v>226</v>
      </c>
      <c r="AK6" s="7" t="s">
        <v>226</v>
      </c>
      <c r="AL6" s="7" t="s">
        <v>226</v>
      </c>
      <c r="AM6" s="7" t="s">
        <v>226</v>
      </c>
      <c r="AN6" s="7" t="s">
        <v>226</v>
      </c>
      <c r="AO6" s="7" t="s">
        <v>226</v>
      </c>
      <c r="AP6" s="7" t="s">
        <v>226</v>
      </c>
      <c r="AQ6" s="7" t="s">
        <v>226</v>
      </c>
      <c r="AR6" s="7" t="s">
        <v>226</v>
      </c>
      <c r="AS6" s="7" t="s">
        <v>226</v>
      </c>
      <c r="AT6" s="7" t="s">
        <v>226</v>
      </c>
      <c r="AU6" s="7" t="s">
        <v>226</v>
      </c>
      <c r="AV6" s="12" t="s">
        <v>226</v>
      </c>
      <c r="AW6" s="7" t="s">
        <v>226</v>
      </c>
      <c r="AX6" s="7" t="s">
        <v>226</v>
      </c>
      <c r="AY6" s="7" t="s">
        <v>226</v>
      </c>
      <c r="AZ6" s="7" t="s">
        <v>226</v>
      </c>
      <c r="BA6" s="7" t="s">
        <v>226</v>
      </c>
      <c r="BB6" s="12" t="s">
        <v>226</v>
      </c>
      <c r="BC6" s="7" t="s">
        <v>226</v>
      </c>
      <c r="BD6" s="7" t="s">
        <v>226</v>
      </c>
      <c r="BE6" s="7" t="s">
        <v>226</v>
      </c>
      <c r="BF6" s="7" t="s">
        <v>226</v>
      </c>
      <c r="BG6" s="7" t="s">
        <v>226</v>
      </c>
      <c r="BH6" s="9" t="s">
        <v>226</v>
      </c>
      <c r="BI6" s="13" t="s">
        <v>226</v>
      </c>
      <c r="BJ6" s="7" t="s">
        <v>226</v>
      </c>
      <c r="BK6" s="7" t="s">
        <v>226</v>
      </c>
      <c r="BL6" s="7" t="s">
        <v>226</v>
      </c>
      <c r="BM6" s="7" t="s">
        <v>226</v>
      </c>
      <c r="BN6" s="7" t="s">
        <v>226</v>
      </c>
      <c r="BO6" s="7" t="s">
        <v>226</v>
      </c>
      <c r="BP6" s="7" t="s">
        <v>226</v>
      </c>
      <c r="BQ6" s="7" t="s">
        <v>226</v>
      </c>
      <c r="BR6" s="7" t="s">
        <v>226</v>
      </c>
      <c r="BS6" s="7" t="s">
        <v>226</v>
      </c>
      <c r="BT6" s="7" t="s">
        <v>226</v>
      </c>
      <c r="BU6" s="7" t="s">
        <v>227</v>
      </c>
      <c r="BV6" s="7" t="s">
        <v>226</v>
      </c>
      <c r="BW6" s="7" t="s">
        <v>226</v>
      </c>
      <c r="BX6" s="7" t="s">
        <v>226</v>
      </c>
      <c r="BY6" s="7" t="s">
        <v>226</v>
      </c>
      <c r="BZ6" s="7" t="s">
        <v>226</v>
      </c>
      <c r="CA6" s="7" t="s">
        <v>226</v>
      </c>
      <c r="CB6" s="7" t="s">
        <v>226</v>
      </c>
      <c r="CC6" s="7" t="s">
        <v>226</v>
      </c>
      <c r="CD6" s="7" t="s">
        <v>226</v>
      </c>
      <c r="CE6" s="7" t="s">
        <v>226</v>
      </c>
      <c r="CF6" s="7" t="s">
        <v>226</v>
      </c>
      <c r="CG6" s="7" t="s">
        <v>226</v>
      </c>
      <c r="CH6" s="7" t="s">
        <v>226</v>
      </c>
      <c r="CI6" s="7" t="s">
        <v>226</v>
      </c>
      <c r="CJ6" s="7" t="s">
        <v>226</v>
      </c>
      <c r="CK6" s="7" t="s">
        <v>226</v>
      </c>
      <c r="CL6" s="7" t="s">
        <v>226</v>
      </c>
      <c r="CM6" s="7" t="s">
        <v>227</v>
      </c>
      <c r="CN6" s="7" t="s">
        <v>226</v>
      </c>
      <c r="CO6" s="7" t="s">
        <v>226</v>
      </c>
      <c r="CP6" s="7" t="s">
        <v>226</v>
      </c>
      <c r="CQ6" s="7" t="s">
        <v>226</v>
      </c>
      <c r="CR6" s="7" t="s">
        <v>226</v>
      </c>
      <c r="CS6" s="7" t="s">
        <v>226</v>
      </c>
      <c r="CT6" s="7" t="s">
        <v>226</v>
      </c>
      <c r="CU6" s="7" t="s">
        <v>226</v>
      </c>
      <c r="CV6" s="16" t="s">
        <v>226</v>
      </c>
      <c r="CW6" s="16" t="s">
        <v>226</v>
      </c>
      <c r="CX6" s="10" t="s">
        <v>226</v>
      </c>
      <c r="CY6" s="10" t="s">
        <v>226</v>
      </c>
      <c r="CZ6" s="10" t="s">
        <v>226</v>
      </c>
      <c r="DA6" s="10" t="s">
        <v>226</v>
      </c>
      <c r="DB6" s="7" t="s">
        <v>226</v>
      </c>
      <c r="DC6" s="7" t="s">
        <v>226</v>
      </c>
      <c r="DD6" s="7" t="s">
        <v>226</v>
      </c>
      <c r="DE6" s="7" t="s">
        <v>226</v>
      </c>
      <c r="DF6" s="7" t="s">
        <v>226</v>
      </c>
      <c r="DG6" s="7" t="s">
        <v>226</v>
      </c>
      <c r="DH6" s="7" t="s">
        <v>226</v>
      </c>
      <c r="DI6" s="7" t="s">
        <v>226</v>
      </c>
      <c r="DJ6" s="7" t="s">
        <v>226</v>
      </c>
      <c r="DK6" s="7" t="s">
        <v>226</v>
      </c>
      <c r="DL6" s="7" t="s">
        <v>226</v>
      </c>
      <c r="DM6" s="7" t="s">
        <v>226</v>
      </c>
      <c r="DN6" s="7" t="s">
        <v>226</v>
      </c>
      <c r="DO6" s="7" t="s">
        <v>226</v>
      </c>
      <c r="DP6" s="7" t="s">
        <v>226</v>
      </c>
      <c r="DQ6" s="7" t="s">
        <v>226</v>
      </c>
      <c r="DR6" s="7" t="s">
        <v>226</v>
      </c>
      <c r="DS6" s="7" t="s">
        <v>226</v>
      </c>
      <c r="DT6" s="12" t="s">
        <v>226</v>
      </c>
      <c r="DU6" s="7" t="s">
        <v>226</v>
      </c>
      <c r="DV6" s="7" t="s">
        <v>226</v>
      </c>
      <c r="DW6" s="7" t="s">
        <v>226</v>
      </c>
      <c r="DX6" s="7" t="s">
        <v>226</v>
      </c>
      <c r="DY6" s="7" t="s">
        <v>226</v>
      </c>
      <c r="DZ6" s="7" t="s">
        <v>226</v>
      </c>
      <c r="EA6" s="7" t="s">
        <v>226</v>
      </c>
    </row>
    <row r="7" spans="1:131" x14ac:dyDescent="0.3">
      <c r="A7" s="6" t="s">
        <v>228</v>
      </c>
      <c r="B7" s="7" t="s">
        <v>229</v>
      </c>
      <c r="C7" s="7" t="s">
        <v>229</v>
      </c>
      <c r="D7" s="7" t="s">
        <v>229</v>
      </c>
      <c r="E7" s="7" t="s">
        <v>229</v>
      </c>
      <c r="F7" s="7" t="s">
        <v>229</v>
      </c>
      <c r="G7" s="7" t="s">
        <v>229</v>
      </c>
      <c r="H7" s="7" t="s">
        <v>229</v>
      </c>
      <c r="I7" s="7" t="s">
        <v>229</v>
      </c>
      <c r="J7" s="7" t="s">
        <v>229</v>
      </c>
      <c r="K7" s="7" t="s">
        <v>229</v>
      </c>
      <c r="L7" s="7" t="s">
        <v>229</v>
      </c>
      <c r="M7" s="7" t="s">
        <v>229</v>
      </c>
      <c r="N7" s="7" t="s">
        <v>229</v>
      </c>
      <c r="O7" s="7" t="s">
        <v>229</v>
      </c>
      <c r="P7" s="7" t="s">
        <v>229</v>
      </c>
      <c r="Q7" s="7" t="s">
        <v>229</v>
      </c>
      <c r="R7" s="7" t="s">
        <v>230</v>
      </c>
      <c r="S7" s="9" t="s">
        <v>230</v>
      </c>
      <c r="T7" s="7" t="s">
        <v>230</v>
      </c>
      <c r="U7" s="7" t="s">
        <v>230</v>
      </c>
      <c r="V7" s="7" t="s">
        <v>229</v>
      </c>
      <c r="W7" s="7" t="s">
        <v>230</v>
      </c>
      <c r="X7" s="10" t="s">
        <v>230</v>
      </c>
      <c r="Y7" s="10" t="s">
        <v>230</v>
      </c>
      <c r="Z7" s="10" t="s">
        <v>230</v>
      </c>
      <c r="AA7" s="10" t="s">
        <v>230</v>
      </c>
      <c r="AB7" s="10" t="s">
        <v>230</v>
      </c>
      <c r="AC7" s="10" t="s">
        <v>230</v>
      </c>
      <c r="AD7" s="10" t="s">
        <v>230</v>
      </c>
      <c r="AE7" s="7" t="s">
        <v>231</v>
      </c>
      <c r="AF7" s="7" t="s">
        <v>231</v>
      </c>
      <c r="AG7" s="7" t="s">
        <v>231</v>
      </c>
      <c r="AH7" s="7" t="s">
        <v>230</v>
      </c>
      <c r="AI7" s="7" t="s">
        <v>229</v>
      </c>
      <c r="AJ7" s="7" t="s">
        <v>229</v>
      </c>
      <c r="AK7" s="7" t="s">
        <v>229</v>
      </c>
      <c r="AL7" s="7" t="s">
        <v>229</v>
      </c>
      <c r="AM7" s="7" t="s">
        <v>229</v>
      </c>
      <c r="AN7" s="7" t="s">
        <v>229</v>
      </c>
      <c r="AO7" s="7" t="s">
        <v>229</v>
      </c>
      <c r="AP7" s="7" t="s">
        <v>229</v>
      </c>
      <c r="AQ7" s="7" t="s">
        <v>229</v>
      </c>
      <c r="AR7" s="7" t="s">
        <v>229</v>
      </c>
      <c r="AS7" s="7" t="s">
        <v>229</v>
      </c>
      <c r="AT7" s="7" t="s">
        <v>229</v>
      </c>
      <c r="AU7" s="7" t="s">
        <v>229</v>
      </c>
      <c r="AV7" s="12" t="s">
        <v>229</v>
      </c>
      <c r="AW7" s="7" t="s">
        <v>229</v>
      </c>
      <c r="AX7" s="7" t="s">
        <v>229</v>
      </c>
      <c r="AY7" s="7" t="s">
        <v>229</v>
      </c>
      <c r="AZ7" s="7" t="s">
        <v>229</v>
      </c>
      <c r="BA7" s="7" t="s">
        <v>229</v>
      </c>
      <c r="BB7" s="12" t="s">
        <v>229</v>
      </c>
      <c r="BC7" s="7" t="s">
        <v>231</v>
      </c>
      <c r="BD7" s="7" t="s">
        <v>231</v>
      </c>
      <c r="BE7" s="7" t="s">
        <v>230</v>
      </c>
      <c r="BF7" s="7" t="s">
        <v>230</v>
      </c>
      <c r="BG7" s="7" t="s">
        <v>231</v>
      </c>
      <c r="BH7" s="9" t="s">
        <v>231</v>
      </c>
      <c r="BI7" s="13" t="s">
        <v>230</v>
      </c>
      <c r="BJ7" s="7" t="s">
        <v>230</v>
      </c>
      <c r="BK7" s="7" t="s">
        <v>231</v>
      </c>
      <c r="BL7" s="7" t="s">
        <v>231</v>
      </c>
      <c r="BM7" s="7" t="s">
        <v>231</v>
      </c>
      <c r="BN7" s="7" t="s">
        <v>231</v>
      </c>
      <c r="BO7" s="7" t="s">
        <v>231</v>
      </c>
      <c r="BP7" s="7" t="s">
        <v>231</v>
      </c>
      <c r="BQ7" s="7" t="s">
        <v>231</v>
      </c>
      <c r="BR7" s="7" t="s">
        <v>231</v>
      </c>
      <c r="BS7" s="7" t="s">
        <v>231</v>
      </c>
      <c r="BT7" s="7" t="s">
        <v>231</v>
      </c>
      <c r="BU7" s="7" t="s">
        <v>230</v>
      </c>
      <c r="BV7" s="7" t="s">
        <v>231</v>
      </c>
      <c r="BW7" s="7" t="s">
        <v>231</v>
      </c>
      <c r="BX7" s="7" t="s">
        <v>229</v>
      </c>
      <c r="BY7" s="7" t="s">
        <v>229</v>
      </c>
      <c r="BZ7" s="7" t="s">
        <v>229</v>
      </c>
      <c r="CA7" s="7" t="s">
        <v>229</v>
      </c>
      <c r="CB7" s="7" t="s">
        <v>229</v>
      </c>
      <c r="CC7" s="7" t="s">
        <v>229</v>
      </c>
      <c r="CD7" s="7" t="s">
        <v>229</v>
      </c>
      <c r="CE7" s="7" t="s">
        <v>229</v>
      </c>
      <c r="CF7" s="7" t="s">
        <v>229</v>
      </c>
      <c r="CG7" s="7" t="s">
        <v>229</v>
      </c>
      <c r="CH7" s="7" t="s">
        <v>229</v>
      </c>
      <c r="CI7" s="7" t="s">
        <v>229</v>
      </c>
      <c r="CJ7" s="7" t="s">
        <v>229</v>
      </c>
      <c r="CK7" s="7" t="s">
        <v>229</v>
      </c>
      <c r="CL7" s="7" t="s">
        <v>229</v>
      </c>
      <c r="CM7" s="7" t="s">
        <v>231</v>
      </c>
      <c r="CN7" s="7" t="s">
        <v>229</v>
      </c>
      <c r="CO7" s="7" t="s">
        <v>229</v>
      </c>
      <c r="CP7" s="7" t="s">
        <v>229</v>
      </c>
      <c r="CQ7" s="7" t="s">
        <v>229</v>
      </c>
      <c r="CR7" s="7" t="s">
        <v>229</v>
      </c>
      <c r="CS7" s="7" t="s">
        <v>229</v>
      </c>
      <c r="CT7" s="7" t="s">
        <v>231</v>
      </c>
      <c r="CU7" s="7" t="s">
        <v>231</v>
      </c>
      <c r="CV7" s="16" t="s">
        <v>230</v>
      </c>
      <c r="CW7" s="16" t="s">
        <v>230</v>
      </c>
      <c r="CX7" s="10" t="s">
        <v>230</v>
      </c>
      <c r="CY7" s="10" t="s">
        <v>230</v>
      </c>
      <c r="CZ7" s="10" t="s">
        <v>230</v>
      </c>
      <c r="DA7" s="10" t="s">
        <v>230</v>
      </c>
      <c r="DB7" s="7" t="s">
        <v>229</v>
      </c>
      <c r="DC7" s="7" t="s">
        <v>229</v>
      </c>
      <c r="DD7" s="7" t="s">
        <v>229</v>
      </c>
      <c r="DE7" s="7" t="s">
        <v>229</v>
      </c>
      <c r="DF7" s="7" t="s">
        <v>229</v>
      </c>
      <c r="DG7" s="7" t="s">
        <v>229</v>
      </c>
      <c r="DH7" s="7" t="s">
        <v>229</v>
      </c>
      <c r="DI7" s="7" t="s">
        <v>230</v>
      </c>
      <c r="DJ7" s="7" t="s">
        <v>231</v>
      </c>
      <c r="DK7" s="7" t="s">
        <v>229</v>
      </c>
      <c r="DL7" s="7" t="s">
        <v>229</v>
      </c>
      <c r="DM7" s="7" t="s">
        <v>229</v>
      </c>
      <c r="DN7" s="7" t="s">
        <v>229</v>
      </c>
      <c r="DO7" s="7" t="s">
        <v>229</v>
      </c>
      <c r="DP7" s="7" t="s">
        <v>229</v>
      </c>
      <c r="DQ7" s="7" t="s">
        <v>229</v>
      </c>
      <c r="DR7" s="7" t="s">
        <v>229</v>
      </c>
      <c r="DS7" s="7" t="s">
        <v>229</v>
      </c>
      <c r="DT7" s="12" t="s">
        <v>229</v>
      </c>
      <c r="DU7" s="7" t="s">
        <v>231</v>
      </c>
      <c r="DV7" s="7" t="s">
        <v>230</v>
      </c>
      <c r="DW7" s="7" t="s">
        <v>230</v>
      </c>
      <c r="DX7" s="7" t="s">
        <v>230</v>
      </c>
      <c r="DY7" s="7" t="s">
        <v>230</v>
      </c>
      <c r="DZ7" s="7" t="s">
        <v>231</v>
      </c>
      <c r="EA7" s="7" t="s">
        <v>230</v>
      </c>
    </row>
    <row r="8" spans="1:131" x14ac:dyDescent="0.3">
      <c r="A8" s="6" t="s">
        <v>232</v>
      </c>
      <c r="B8" s="7" t="s">
        <v>233</v>
      </c>
      <c r="C8" s="7" t="s">
        <v>234</v>
      </c>
      <c r="D8" s="7" t="s">
        <v>233</v>
      </c>
      <c r="E8" s="7" t="s">
        <v>233</v>
      </c>
      <c r="F8" s="7" t="s">
        <v>233</v>
      </c>
      <c r="G8" s="7" t="s">
        <v>233</v>
      </c>
      <c r="H8" s="7" t="s">
        <v>233</v>
      </c>
      <c r="I8" s="7" t="s">
        <v>233</v>
      </c>
      <c r="J8" s="7" t="s">
        <v>233</v>
      </c>
      <c r="K8" s="7" t="s">
        <v>233</v>
      </c>
      <c r="L8" s="7" t="s">
        <v>233</v>
      </c>
      <c r="M8" s="7" t="s">
        <v>233</v>
      </c>
      <c r="N8" s="7" t="s">
        <v>233</v>
      </c>
      <c r="O8" s="7" t="s">
        <v>233</v>
      </c>
      <c r="P8" s="7" t="s">
        <v>233</v>
      </c>
      <c r="Q8" s="7" t="s">
        <v>233</v>
      </c>
      <c r="R8" s="7" t="s">
        <v>233</v>
      </c>
      <c r="S8" s="9" t="s">
        <v>233</v>
      </c>
      <c r="T8" s="7" t="s">
        <v>233</v>
      </c>
      <c r="U8" s="7" t="s">
        <v>233</v>
      </c>
      <c r="V8" s="7" t="s">
        <v>233</v>
      </c>
      <c r="W8" s="7" t="s">
        <v>233</v>
      </c>
      <c r="X8" s="10" t="s">
        <v>233</v>
      </c>
      <c r="Y8" s="10" t="s">
        <v>233</v>
      </c>
      <c r="Z8" s="10" t="s">
        <v>233</v>
      </c>
      <c r="AA8" s="10" t="s">
        <v>233</v>
      </c>
      <c r="AB8" s="10" t="s">
        <v>233</v>
      </c>
      <c r="AC8" s="10" t="s">
        <v>233</v>
      </c>
      <c r="AD8" s="10" t="s">
        <v>233</v>
      </c>
      <c r="AE8" s="7" t="s">
        <v>233</v>
      </c>
      <c r="AF8" s="7" t="s">
        <v>233</v>
      </c>
      <c r="AG8" s="7" t="s">
        <v>233</v>
      </c>
      <c r="AH8" s="7" t="s">
        <v>233</v>
      </c>
      <c r="AI8" s="7" t="s">
        <v>235</v>
      </c>
      <c r="AJ8" s="7" t="s">
        <v>235</v>
      </c>
      <c r="AK8" s="7" t="s">
        <v>235</v>
      </c>
      <c r="AL8" s="7" t="s">
        <v>235</v>
      </c>
      <c r="AM8" s="7" t="s">
        <v>235</v>
      </c>
      <c r="AN8" s="7" t="s">
        <v>235</v>
      </c>
      <c r="AO8" s="7" t="s">
        <v>235</v>
      </c>
      <c r="AP8" s="7" t="s">
        <v>235</v>
      </c>
      <c r="AQ8" s="7" t="s">
        <v>235</v>
      </c>
      <c r="AR8" s="7" t="s">
        <v>235</v>
      </c>
      <c r="AS8" s="7" t="s">
        <v>235</v>
      </c>
      <c r="AT8" s="7" t="s">
        <v>235</v>
      </c>
      <c r="AU8" s="7" t="s">
        <v>235</v>
      </c>
      <c r="AV8" s="12" t="s">
        <v>236</v>
      </c>
      <c r="AW8" s="7" t="s">
        <v>236</v>
      </c>
      <c r="AX8" s="7" t="s">
        <v>236</v>
      </c>
      <c r="AY8" s="7" t="s">
        <v>236</v>
      </c>
      <c r="AZ8" s="7" t="s">
        <v>236</v>
      </c>
      <c r="BA8" s="7" t="s">
        <v>236</v>
      </c>
      <c r="BB8" s="12" t="s">
        <v>236</v>
      </c>
      <c r="BC8" s="7" t="s">
        <v>237</v>
      </c>
      <c r="BD8" s="7" t="s">
        <v>237</v>
      </c>
      <c r="BE8" s="7" t="s">
        <v>237</v>
      </c>
      <c r="BF8" s="7" t="s">
        <v>237</v>
      </c>
      <c r="BG8" s="7" t="s">
        <v>236</v>
      </c>
      <c r="BH8" s="9" t="s">
        <v>236</v>
      </c>
      <c r="BI8" s="13" t="s">
        <v>237</v>
      </c>
      <c r="BJ8" s="13" t="s">
        <v>237</v>
      </c>
      <c r="BK8" s="7" t="s">
        <v>235</v>
      </c>
      <c r="BL8" s="7" t="s">
        <v>235</v>
      </c>
      <c r="BM8" s="7" t="s">
        <v>235</v>
      </c>
      <c r="BN8" s="7" t="s">
        <v>235</v>
      </c>
      <c r="BO8" s="7" t="s">
        <v>237</v>
      </c>
      <c r="BP8" s="7" t="s">
        <v>238</v>
      </c>
      <c r="BQ8" s="7" t="s">
        <v>239</v>
      </c>
      <c r="BR8" s="7" t="s">
        <v>238</v>
      </c>
      <c r="BS8" s="7" t="s">
        <v>239</v>
      </c>
      <c r="BT8" s="7" t="s">
        <v>239</v>
      </c>
      <c r="BU8" s="7" t="s">
        <v>238</v>
      </c>
      <c r="BV8" s="7" t="s">
        <v>239</v>
      </c>
      <c r="BW8" s="7" t="s">
        <v>239</v>
      </c>
      <c r="BX8" s="7" t="s">
        <v>239</v>
      </c>
      <c r="BY8" s="7" t="s">
        <v>239</v>
      </c>
      <c r="BZ8" s="7" t="s">
        <v>239</v>
      </c>
      <c r="CA8" s="7" t="s">
        <v>239</v>
      </c>
      <c r="CB8" s="7" t="s">
        <v>239</v>
      </c>
      <c r="CC8" s="7" t="s">
        <v>239</v>
      </c>
      <c r="CD8" s="7" t="s">
        <v>239</v>
      </c>
      <c r="CE8" s="7" t="s">
        <v>239</v>
      </c>
      <c r="CF8" s="7" t="s">
        <v>239</v>
      </c>
      <c r="CG8" s="7" t="s">
        <v>239</v>
      </c>
      <c r="CH8" s="7" t="s">
        <v>239</v>
      </c>
      <c r="CI8" s="7" t="s">
        <v>239</v>
      </c>
      <c r="CJ8" s="7" t="s">
        <v>239</v>
      </c>
      <c r="CK8" s="7" t="s">
        <v>239</v>
      </c>
      <c r="CL8" s="7" t="s">
        <v>239</v>
      </c>
      <c r="CM8" s="7" t="s">
        <v>238</v>
      </c>
      <c r="CN8" s="7" t="s">
        <v>233</v>
      </c>
      <c r="CO8" s="7" t="s">
        <v>233</v>
      </c>
      <c r="CP8" s="7" t="s">
        <v>233</v>
      </c>
      <c r="CQ8" s="7" t="s">
        <v>233</v>
      </c>
      <c r="CR8" s="7" t="s">
        <v>233</v>
      </c>
      <c r="CS8" s="7" t="s">
        <v>233</v>
      </c>
      <c r="CT8" s="7" t="s">
        <v>233</v>
      </c>
      <c r="CU8" s="7" t="s">
        <v>233</v>
      </c>
      <c r="CV8" s="29" t="s">
        <v>233</v>
      </c>
      <c r="CW8" s="29" t="s">
        <v>233</v>
      </c>
      <c r="CX8" s="10" t="s">
        <v>233</v>
      </c>
      <c r="CY8" s="10" t="s">
        <v>233</v>
      </c>
      <c r="CZ8" s="10" t="s">
        <v>233</v>
      </c>
      <c r="DA8" s="10" t="s">
        <v>233</v>
      </c>
      <c r="DB8" s="7" t="s">
        <v>233</v>
      </c>
      <c r="DC8" s="7" t="s">
        <v>233</v>
      </c>
      <c r="DD8" s="7" t="s">
        <v>233</v>
      </c>
      <c r="DE8" s="7" t="s">
        <v>233</v>
      </c>
      <c r="DF8" s="7" t="s">
        <v>233</v>
      </c>
      <c r="DG8" s="7" t="s">
        <v>233</v>
      </c>
      <c r="DH8" s="7" t="s">
        <v>233</v>
      </c>
      <c r="DI8" s="7" t="s">
        <v>233</v>
      </c>
      <c r="DJ8" s="7" t="s">
        <v>233</v>
      </c>
      <c r="DK8" s="7" t="s">
        <v>235</v>
      </c>
      <c r="DL8" s="7" t="s">
        <v>235</v>
      </c>
      <c r="DM8" s="7" t="s">
        <v>235</v>
      </c>
      <c r="DN8" s="7" t="s">
        <v>235</v>
      </c>
      <c r="DO8" s="7" t="s">
        <v>235</v>
      </c>
      <c r="DP8" s="7" t="s">
        <v>236</v>
      </c>
      <c r="DQ8" s="7" t="s">
        <v>236</v>
      </c>
      <c r="DR8" s="7" t="s">
        <v>236</v>
      </c>
      <c r="DS8" s="7" t="s">
        <v>236</v>
      </c>
      <c r="DT8" s="12" t="s">
        <v>236</v>
      </c>
      <c r="DU8" s="7" t="s">
        <v>236</v>
      </c>
      <c r="DV8" s="7" t="s">
        <v>237</v>
      </c>
      <c r="DW8" s="7" t="s">
        <v>237</v>
      </c>
      <c r="DX8" s="7" t="s">
        <v>237</v>
      </c>
      <c r="DY8" s="7" t="s">
        <v>237</v>
      </c>
      <c r="DZ8" s="7" t="s">
        <v>235</v>
      </c>
      <c r="EA8" s="7" t="s">
        <v>237</v>
      </c>
    </row>
    <row r="9" spans="1:131" x14ac:dyDescent="0.3">
      <c r="A9" s="6" t="s">
        <v>240</v>
      </c>
      <c r="B9" s="7" t="s">
        <v>241</v>
      </c>
      <c r="C9" s="7" t="s">
        <v>241</v>
      </c>
      <c r="D9" s="7" t="s">
        <v>241</v>
      </c>
      <c r="E9" s="7" t="s">
        <v>241</v>
      </c>
      <c r="F9" s="7" t="s">
        <v>241</v>
      </c>
      <c r="G9" s="7" t="s">
        <v>241</v>
      </c>
      <c r="H9" s="7" t="s">
        <v>241</v>
      </c>
      <c r="I9" s="13" t="s">
        <v>241</v>
      </c>
      <c r="J9" s="7" t="s">
        <v>241</v>
      </c>
      <c r="K9" s="7" t="s">
        <v>241</v>
      </c>
      <c r="L9" s="7" t="s">
        <v>241</v>
      </c>
      <c r="M9" s="7" t="s">
        <v>241</v>
      </c>
      <c r="N9" s="7" t="s">
        <v>241</v>
      </c>
      <c r="O9" s="7" t="s">
        <v>241</v>
      </c>
      <c r="P9" s="7" t="s">
        <v>241</v>
      </c>
      <c r="Q9" s="7" t="s">
        <v>241</v>
      </c>
      <c r="R9" s="7" t="s">
        <v>241</v>
      </c>
      <c r="S9" s="9" t="s">
        <v>241</v>
      </c>
      <c r="T9" s="7" t="s">
        <v>241</v>
      </c>
      <c r="U9" s="7" t="s">
        <v>241</v>
      </c>
      <c r="V9" s="7" t="s">
        <v>241</v>
      </c>
      <c r="W9" s="7" t="s">
        <v>241</v>
      </c>
      <c r="X9" s="10" t="s">
        <v>241</v>
      </c>
      <c r="Y9" s="10" t="s">
        <v>241</v>
      </c>
      <c r="Z9" s="10" t="s">
        <v>241</v>
      </c>
      <c r="AA9" s="10" t="s">
        <v>241</v>
      </c>
      <c r="AB9" s="10" t="s">
        <v>241</v>
      </c>
      <c r="AC9" s="10" t="s">
        <v>241</v>
      </c>
      <c r="AD9" s="10" t="s">
        <v>241</v>
      </c>
      <c r="AE9" s="7" t="s">
        <v>241</v>
      </c>
      <c r="AF9" s="7" t="s">
        <v>241</v>
      </c>
      <c r="AG9" s="7" t="s">
        <v>241</v>
      </c>
      <c r="AH9" s="7" t="s">
        <v>241</v>
      </c>
      <c r="AI9" s="7" t="s">
        <v>235</v>
      </c>
      <c r="AJ9" s="7" t="s">
        <v>242</v>
      </c>
      <c r="AK9" s="7" t="s">
        <v>235</v>
      </c>
      <c r="AL9" s="7"/>
      <c r="AM9" s="7" t="s">
        <v>243</v>
      </c>
      <c r="AN9" s="7" t="s">
        <v>243</v>
      </c>
      <c r="AO9" s="7" t="s">
        <v>243</v>
      </c>
      <c r="AP9" s="7" t="s">
        <v>243</v>
      </c>
      <c r="AQ9" s="7" t="s">
        <v>243</v>
      </c>
      <c r="AR9" s="7" t="s">
        <v>243</v>
      </c>
      <c r="AS9" s="7" t="s">
        <v>244</v>
      </c>
      <c r="AT9" s="7" t="s">
        <v>245</v>
      </c>
      <c r="AU9" s="7" t="s">
        <v>235</v>
      </c>
      <c r="AV9" s="12" t="s">
        <v>236</v>
      </c>
      <c r="AW9" s="7" t="s">
        <v>236</v>
      </c>
      <c r="AX9" s="13" t="s">
        <v>242</v>
      </c>
      <c r="AY9" s="7" t="s">
        <v>236</v>
      </c>
      <c r="AZ9" s="7" t="s">
        <v>236</v>
      </c>
      <c r="BA9" s="7" t="s">
        <v>236</v>
      </c>
      <c r="BB9" s="12" t="s">
        <v>236</v>
      </c>
      <c r="BC9" s="7" t="s">
        <v>237</v>
      </c>
      <c r="BD9" s="7" t="s">
        <v>237</v>
      </c>
      <c r="BE9" s="7" t="s">
        <v>242</v>
      </c>
      <c r="BF9" s="7" t="s">
        <v>237</v>
      </c>
      <c r="BG9" s="7" t="s">
        <v>236</v>
      </c>
      <c r="BH9" s="9" t="s">
        <v>245</v>
      </c>
      <c r="BI9" s="13" t="s">
        <v>237</v>
      </c>
      <c r="BJ9" s="7" t="s">
        <v>242</v>
      </c>
      <c r="BK9" s="7" t="s">
        <v>235</v>
      </c>
      <c r="BL9" s="7" t="s">
        <v>235</v>
      </c>
      <c r="BM9" s="7" t="s">
        <v>235</v>
      </c>
      <c r="BN9" s="7" t="s">
        <v>242</v>
      </c>
      <c r="BO9" s="7" t="s">
        <v>237</v>
      </c>
      <c r="BP9" s="7" t="s">
        <v>246</v>
      </c>
      <c r="BQ9" s="7" t="s">
        <v>247</v>
      </c>
      <c r="BR9" s="7" t="s">
        <v>247</v>
      </c>
      <c r="BS9" s="7" t="s">
        <v>247</v>
      </c>
      <c r="BT9" s="7" t="s">
        <v>248</v>
      </c>
      <c r="BU9" s="7" t="s">
        <v>247</v>
      </c>
      <c r="BV9" s="7" t="s">
        <v>239</v>
      </c>
      <c r="BW9" s="7" t="s">
        <v>239</v>
      </c>
      <c r="BX9" s="7" t="s">
        <v>246</v>
      </c>
      <c r="BY9" s="7" t="s">
        <v>246</v>
      </c>
      <c r="BZ9" s="7" t="s">
        <v>239</v>
      </c>
      <c r="CA9" s="7" t="s">
        <v>246</v>
      </c>
      <c r="CB9" s="7" t="s">
        <v>246</v>
      </c>
      <c r="CC9" s="7" t="s">
        <v>249</v>
      </c>
      <c r="CD9" s="7" t="s">
        <v>249</v>
      </c>
      <c r="CE9" s="7" t="s">
        <v>246</v>
      </c>
      <c r="CF9" s="7" t="s">
        <v>246</v>
      </c>
      <c r="CG9" s="7" t="s">
        <v>239</v>
      </c>
      <c r="CH9" s="7" t="s">
        <v>239</v>
      </c>
      <c r="CI9" s="7" t="s">
        <v>239</v>
      </c>
      <c r="CJ9" s="7" t="s">
        <v>249</v>
      </c>
      <c r="CK9" s="7" t="s">
        <v>246</v>
      </c>
      <c r="CL9" s="7" t="s">
        <v>246</v>
      </c>
      <c r="CM9" s="7" t="s">
        <v>238</v>
      </c>
      <c r="CN9" s="7" t="s">
        <v>241</v>
      </c>
      <c r="CO9" s="7" t="s">
        <v>241</v>
      </c>
      <c r="CP9" s="7" t="s">
        <v>241</v>
      </c>
      <c r="CQ9" s="7" t="s">
        <v>241</v>
      </c>
      <c r="CR9" s="7" t="s">
        <v>241</v>
      </c>
      <c r="CS9" s="7" t="s">
        <v>241</v>
      </c>
      <c r="CT9" s="7" t="s">
        <v>241</v>
      </c>
      <c r="CU9" s="7" t="s">
        <v>241</v>
      </c>
      <c r="CV9" s="29" t="s">
        <v>241</v>
      </c>
      <c r="CW9" s="29" t="s">
        <v>241</v>
      </c>
      <c r="CX9" s="10" t="s">
        <v>241</v>
      </c>
      <c r="CY9" s="10" t="s">
        <v>241</v>
      </c>
      <c r="CZ9" s="10" t="s">
        <v>241</v>
      </c>
      <c r="DA9" s="10" t="s">
        <v>241</v>
      </c>
      <c r="DB9" s="7" t="s">
        <v>241</v>
      </c>
      <c r="DC9" s="7" t="s">
        <v>241</v>
      </c>
      <c r="DD9" s="7" t="s">
        <v>241</v>
      </c>
      <c r="DE9" s="7" t="s">
        <v>241</v>
      </c>
      <c r="DF9" s="7" t="s">
        <v>241</v>
      </c>
      <c r="DG9" s="7" t="s">
        <v>241</v>
      </c>
      <c r="DH9" s="7" t="s">
        <v>241</v>
      </c>
      <c r="DI9" s="7" t="s">
        <v>241</v>
      </c>
      <c r="DJ9" s="7" t="s">
        <v>241</v>
      </c>
      <c r="DK9" s="7"/>
      <c r="DL9" s="7"/>
      <c r="DM9" s="7"/>
      <c r="DN9" s="7"/>
      <c r="DO9" s="7" t="s">
        <v>235</v>
      </c>
      <c r="DP9" s="7" t="s">
        <v>236</v>
      </c>
      <c r="DQ9" s="7" t="s">
        <v>236</v>
      </c>
      <c r="DR9" s="7" t="s">
        <v>236</v>
      </c>
      <c r="DS9" s="7" t="s">
        <v>236</v>
      </c>
      <c r="DT9" s="12" t="s">
        <v>236</v>
      </c>
      <c r="DU9" s="7" t="s">
        <v>236</v>
      </c>
      <c r="DV9" s="7" t="s">
        <v>237</v>
      </c>
      <c r="DW9" s="7" t="s">
        <v>236</v>
      </c>
      <c r="DX9" s="7" t="s">
        <v>237</v>
      </c>
      <c r="DY9" s="7" t="s">
        <v>237</v>
      </c>
      <c r="DZ9" s="7" t="s">
        <v>235</v>
      </c>
      <c r="EA9" s="7" t="s">
        <v>237</v>
      </c>
    </row>
    <row r="10" spans="1:131" ht="15.6" x14ac:dyDescent="0.3">
      <c r="A10" s="6" t="s">
        <v>250</v>
      </c>
      <c r="B10" s="7"/>
      <c r="C10" s="7"/>
      <c r="D10" s="7"/>
      <c r="E10" s="7"/>
      <c r="F10" s="7"/>
      <c r="G10" s="7"/>
      <c r="H10" s="7"/>
      <c r="I10" s="7"/>
      <c r="J10" s="7"/>
      <c r="K10" s="7"/>
      <c r="L10" s="7"/>
      <c r="M10" s="7"/>
      <c r="N10" s="7"/>
      <c r="O10" s="7"/>
      <c r="P10" s="7"/>
      <c r="Q10" s="7"/>
      <c r="R10" s="7"/>
      <c r="S10" s="9"/>
      <c r="T10" s="7"/>
      <c r="U10" s="7"/>
      <c r="V10" s="7"/>
      <c r="W10" s="7"/>
      <c r="X10" s="10"/>
      <c r="Y10" s="10"/>
      <c r="Z10" s="10"/>
      <c r="AA10" s="10"/>
      <c r="AB10" s="10"/>
      <c r="AC10" s="10"/>
      <c r="AD10" s="10"/>
      <c r="AE10" s="7"/>
      <c r="AF10" s="7"/>
      <c r="AG10" s="7"/>
      <c r="AH10" s="7"/>
      <c r="AI10" s="7"/>
      <c r="AJ10" s="7"/>
      <c r="AK10" s="7"/>
      <c r="AL10" s="7"/>
      <c r="AM10" s="7"/>
      <c r="AN10" s="7" t="s">
        <v>251</v>
      </c>
      <c r="AO10" s="7"/>
      <c r="AP10" s="7"/>
      <c r="AQ10" s="7"/>
      <c r="AR10" s="7"/>
      <c r="AS10" s="7"/>
      <c r="AT10" s="7"/>
      <c r="AU10" s="7"/>
      <c r="AV10" s="12"/>
      <c r="AW10" s="7" t="s">
        <v>252</v>
      </c>
      <c r="AX10" s="7"/>
      <c r="AY10" s="7"/>
      <c r="AZ10" s="7"/>
      <c r="BA10" s="7"/>
      <c r="BB10" s="12"/>
      <c r="BC10" s="7"/>
      <c r="BD10" s="7"/>
      <c r="BE10" s="7"/>
      <c r="BF10" s="7"/>
      <c r="BG10" s="7"/>
      <c r="BH10" s="9" t="s">
        <v>253</v>
      </c>
      <c r="BI10" s="13"/>
      <c r="BJ10" s="7"/>
      <c r="BK10" s="7" t="s">
        <v>254</v>
      </c>
      <c r="BL10" s="7"/>
      <c r="BM10" s="7"/>
      <c r="BN10" s="30" t="s">
        <v>255</v>
      </c>
      <c r="BO10" s="7"/>
      <c r="BP10" s="7"/>
      <c r="BQ10" s="7" t="s">
        <v>256</v>
      </c>
      <c r="BR10" s="7"/>
      <c r="BS10" s="7" t="s">
        <v>257</v>
      </c>
      <c r="BT10" s="7" t="s">
        <v>258</v>
      </c>
      <c r="BU10" s="7"/>
      <c r="BV10" s="7" t="s">
        <v>259</v>
      </c>
      <c r="BW10" s="7"/>
      <c r="BX10" s="7"/>
      <c r="BY10" s="7"/>
      <c r="BZ10" s="7"/>
      <c r="CA10" s="7" t="s">
        <v>260</v>
      </c>
      <c r="CB10" s="7" t="s">
        <v>261</v>
      </c>
      <c r="CC10" s="7"/>
      <c r="CD10" s="7"/>
      <c r="CE10" s="7"/>
      <c r="CF10" s="7" t="s">
        <v>262</v>
      </c>
      <c r="CG10" s="7"/>
      <c r="CH10" s="7" t="s">
        <v>263</v>
      </c>
      <c r="CI10" s="7" t="s">
        <v>264</v>
      </c>
      <c r="CJ10" s="7"/>
      <c r="CK10" s="7">
        <v>200010030000</v>
      </c>
      <c r="CL10" s="7">
        <v>200010029000</v>
      </c>
      <c r="CM10" s="7"/>
      <c r="CN10" s="7"/>
      <c r="CO10" s="7"/>
      <c r="CP10" s="7"/>
      <c r="CQ10" s="7"/>
      <c r="CR10" s="7"/>
      <c r="CS10" s="7"/>
      <c r="CT10" s="7"/>
      <c r="CU10" s="7"/>
      <c r="CV10" s="16">
        <v>200020069000</v>
      </c>
      <c r="CW10" s="16"/>
      <c r="CX10" s="10"/>
      <c r="CY10" s="10"/>
      <c r="CZ10" s="10"/>
      <c r="DA10" s="31"/>
      <c r="DB10" s="7"/>
      <c r="DC10" s="7"/>
      <c r="DD10" s="7"/>
      <c r="DE10" s="7"/>
      <c r="DF10" s="7"/>
      <c r="DG10" s="7"/>
      <c r="DH10" s="7"/>
      <c r="DI10" s="7"/>
      <c r="DJ10" s="7"/>
      <c r="DK10" s="7"/>
      <c r="DL10" s="7"/>
      <c r="DM10" s="7"/>
      <c r="DN10" s="7"/>
      <c r="DO10" s="7" t="s">
        <v>265</v>
      </c>
      <c r="DP10" s="7"/>
      <c r="DQ10" s="7"/>
      <c r="DR10" s="7"/>
      <c r="DS10" s="7" t="s">
        <v>266</v>
      </c>
      <c r="DT10" s="12"/>
      <c r="DU10" s="7"/>
      <c r="DV10" s="7"/>
      <c r="DW10" s="32"/>
      <c r="DX10" s="7"/>
      <c r="DY10" s="7"/>
      <c r="DZ10" s="7"/>
      <c r="EA10" s="7"/>
    </row>
    <row r="11" spans="1:131" ht="28.8" x14ac:dyDescent="0.3">
      <c r="A11" s="6" t="s">
        <v>267</v>
      </c>
      <c r="B11" s="14" t="s">
        <v>268</v>
      </c>
      <c r="C11" s="7" t="s">
        <v>269</v>
      </c>
      <c r="D11" s="7" t="s">
        <v>270</v>
      </c>
      <c r="E11" s="7" t="s">
        <v>271</v>
      </c>
      <c r="F11" s="7" t="s">
        <v>271</v>
      </c>
      <c r="G11" s="7" t="s">
        <v>272</v>
      </c>
      <c r="H11" s="7" t="s">
        <v>273</v>
      </c>
      <c r="I11" s="13" t="s">
        <v>274</v>
      </c>
      <c r="J11" s="7" t="s">
        <v>275</v>
      </c>
      <c r="K11" s="7" t="s">
        <v>276</v>
      </c>
      <c r="L11" s="7" t="s">
        <v>277</v>
      </c>
      <c r="M11" s="7" t="s">
        <v>278</v>
      </c>
      <c r="N11" s="7" t="s">
        <v>279</v>
      </c>
      <c r="O11" s="7" t="s">
        <v>280</v>
      </c>
      <c r="P11" s="7" t="s">
        <v>281</v>
      </c>
      <c r="Q11" s="7" t="s">
        <v>282</v>
      </c>
      <c r="R11" s="7" t="s">
        <v>283</v>
      </c>
      <c r="S11" s="9" t="s">
        <v>284</v>
      </c>
      <c r="T11" s="7" t="s">
        <v>285</v>
      </c>
      <c r="U11" s="7" t="s">
        <v>286</v>
      </c>
      <c r="V11" s="7" t="s">
        <v>287</v>
      </c>
      <c r="W11" s="7" t="s">
        <v>288</v>
      </c>
      <c r="X11" s="10" t="s">
        <v>289</v>
      </c>
      <c r="Y11" s="10" t="s">
        <v>290</v>
      </c>
      <c r="Z11" s="10" t="s">
        <v>291</v>
      </c>
      <c r="AA11" s="10" t="s">
        <v>292</v>
      </c>
      <c r="AB11" s="10" t="s">
        <v>293</v>
      </c>
      <c r="AC11" s="10" t="s">
        <v>294</v>
      </c>
      <c r="AD11" s="10" t="s">
        <v>295</v>
      </c>
      <c r="AE11" s="7" t="s">
        <v>296</v>
      </c>
      <c r="AF11" s="7" t="s">
        <v>297</v>
      </c>
      <c r="AG11" s="7" t="s">
        <v>298</v>
      </c>
      <c r="AH11" s="7" t="s">
        <v>299</v>
      </c>
      <c r="AI11" s="7" t="s">
        <v>300</v>
      </c>
      <c r="AJ11" s="14" t="s">
        <v>301</v>
      </c>
      <c r="AK11" s="7" t="s">
        <v>245</v>
      </c>
      <c r="AL11" s="7" t="s">
        <v>302</v>
      </c>
      <c r="AM11" s="7" t="s">
        <v>243</v>
      </c>
      <c r="AN11" s="7" t="s">
        <v>243</v>
      </c>
      <c r="AO11" s="7" t="s">
        <v>243</v>
      </c>
      <c r="AP11" s="7" t="s">
        <v>243</v>
      </c>
      <c r="AQ11" s="7" t="s">
        <v>243</v>
      </c>
      <c r="AR11" s="7" t="s">
        <v>303</v>
      </c>
      <c r="AS11" s="7" t="s">
        <v>304</v>
      </c>
      <c r="AT11" s="7" t="s">
        <v>305</v>
      </c>
      <c r="AU11" s="7" t="s">
        <v>306</v>
      </c>
      <c r="AV11" s="12" t="s">
        <v>307</v>
      </c>
      <c r="AW11" s="7" t="s">
        <v>308</v>
      </c>
      <c r="AX11" s="7" t="s">
        <v>309</v>
      </c>
      <c r="AY11" s="7" t="s">
        <v>310</v>
      </c>
      <c r="AZ11" s="7" t="s">
        <v>311</v>
      </c>
      <c r="BA11" s="7" t="s">
        <v>291</v>
      </c>
      <c r="BB11" s="12" t="s">
        <v>312</v>
      </c>
      <c r="BC11" s="7" t="s">
        <v>313</v>
      </c>
      <c r="BD11" s="7" t="s">
        <v>314</v>
      </c>
      <c r="BE11" s="7" t="s">
        <v>315</v>
      </c>
      <c r="BF11" s="7" t="s">
        <v>316</v>
      </c>
      <c r="BG11" s="7" t="s">
        <v>317</v>
      </c>
      <c r="BH11" s="9" t="s">
        <v>245</v>
      </c>
      <c r="BI11" s="13" t="s">
        <v>318</v>
      </c>
      <c r="BJ11" s="7" t="s">
        <v>319</v>
      </c>
      <c r="BK11" s="7" t="s">
        <v>320</v>
      </c>
      <c r="BL11" s="7" t="s">
        <v>321</v>
      </c>
      <c r="BM11" s="7" t="s">
        <v>322</v>
      </c>
      <c r="BN11" s="7" t="s">
        <v>323</v>
      </c>
      <c r="BO11" s="7" t="s">
        <v>273</v>
      </c>
      <c r="BP11" s="7" t="s">
        <v>324</v>
      </c>
      <c r="BQ11" s="7" t="s">
        <v>325</v>
      </c>
      <c r="BR11" s="7" t="s">
        <v>326</v>
      </c>
      <c r="BS11" s="7" t="s">
        <v>327</v>
      </c>
      <c r="BT11" s="7" t="s">
        <v>328</v>
      </c>
      <c r="BU11" s="7" t="s">
        <v>329</v>
      </c>
      <c r="BV11" s="7" t="s">
        <v>330</v>
      </c>
      <c r="BW11" s="7" t="s">
        <v>331</v>
      </c>
      <c r="BX11" s="7" t="s">
        <v>332</v>
      </c>
      <c r="BY11" s="7" t="s">
        <v>333</v>
      </c>
      <c r="BZ11" s="7" t="s">
        <v>334</v>
      </c>
      <c r="CA11" s="7" t="s">
        <v>335</v>
      </c>
      <c r="CB11" s="7" t="s">
        <v>336</v>
      </c>
      <c r="CC11" s="7" t="s">
        <v>337</v>
      </c>
      <c r="CD11" s="7" t="s">
        <v>338</v>
      </c>
      <c r="CE11" s="7" t="s">
        <v>339</v>
      </c>
      <c r="CF11" s="7" t="s">
        <v>339</v>
      </c>
      <c r="CG11" s="7" t="s">
        <v>340</v>
      </c>
      <c r="CH11" s="7" t="s">
        <v>341</v>
      </c>
      <c r="CI11" s="7" t="s">
        <v>342</v>
      </c>
      <c r="CJ11" s="7" t="s">
        <v>343</v>
      </c>
      <c r="CK11" s="7" t="s">
        <v>298</v>
      </c>
      <c r="CL11" s="7" t="s">
        <v>278</v>
      </c>
      <c r="CM11" s="7" t="s">
        <v>341</v>
      </c>
      <c r="CN11" s="7" t="s">
        <v>344</v>
      </c>
      <c r="CO11" s="7" t="s">
        <v>345</v>
      </c>
      <c r="CP11" s="33" t="s">
        <v>346</v>
      </c>
      <c r="CQ11" s="7" t="s">
        <v>347</v>
      </c>
      <c r="CR11" s="7" t="s">
        <v>348</v>
      </c>
      <c r="CS11" s="7" t="s">
        <v>349</v>
      </c>
      <c r="CT11" s="7" t="s">
        <v>345</v>
      </c>
      <c r="CU11" s="7" t="s">
        <v>350</v>
      </c>
      <c r="CV11" s="16" t="s">
        <v>351</v>
      </c>
      <c r="CW11" s="16" t="s">
        <v>352</v>
      </c>
      <c r="CX11" s="10" t="s">
        <v>353</v>
      </c>
      <c r="CY11" s="10" t="s">
        <v>354</v>
      </c>
      <c r="CZ11" s="10" t="s">
        <v>355</v>
      </c>
      <c r="DA11" s="10" t="s">
        <v>356</v>
      </c>
      <c r="DB11" s="7" t="s">
        <v>357</v>
      </c>
      <c r="DC11" s="7" t="s">
        <v>358</v>
      </c>
      <c r="DD11" s="7" t="s">
        <v>357</v>
      </c>
      <c r="DE11" s="7" t="s">
        <v>359</v>
      </c>
      <c r="DF11" s="7" t="s">
        <v>360</v>
      </c>
      <c r="DG11" s="7" t="s">
        <v>348</v>
      </c>
      <c r="DH11" s="7" t="s">
        <v>348</v>
      </c>
      <c r="DI11" s="7" t="s">
        <v>361</v>
      </c>
      <c r="DJ11" s="7" t="s">
        <v>362</v>
      </c>
      <c r="DK11" s="7" t="s">
        <v>363</v>
      </c>
      <c r="DL11" s="7" t="s">
        <v>364</v>
      </c>
      <c r="DM11" s="7" t="s">
        <v>365</v>
      </c>
      <c r="DN11" s="7" t="s">
        <v>366</v>
      </c>
      <c r="DO11" s="7" t="s">
        <v>366</v>
      </c>
      <c r="DP11" s="7" t="s">
        <v>367</v>
      </c>
      <c r="DQ11" s="7" t="s">
        <v>368</v>
      </c>
      <c r="DR11" s="7" t="s">
        <v>369</v>
      </c>
      <c r="DS11" s="7" t="s">
        <v>370</v>
      </c>
      <c r="DT11" s="12" t="s">
        <v>325</v>
      </c>
      <c r="DU11" s="7" t="s">
        <v>371</v>
      </c>
      <c r="DV11" s="7" t="s">
        <v>372</v>
      </c>
      <c r="DW11" s="7" t="s">
        <v>373</v>
      </c>
      <c r="DX11" s="7" t="s">
        <v>374</v>
      </c>
      <c r="DY11" s="7" t="s">
        <v>325</v>
      </c>
      <c r="DZ11" s="7" t="s">
        <v>270</v>
      </c>
      <c r="EA11" s="7" t="s">
        <v>375</v>
      </c>
    </row>
    <row r="12" spans="1:131" x14ac:dyDescent="0.3">
      <c r="A12" s="6" t="s">
        <v>376</v>
      </c>
      <c r="B12" s="7">
        <v>2.2143329999999999</v>
      </c>
      <c r="C12" s="7">
        <v>2.1996929999999999</v>
      </c>
      <c r="D12" s="7">
        <v>2.2018939999999998</v>
      </c>
      <c r="E12" s="7">
        <v>2.2042069999999998</v>
      </c>
      <c r="F12" s="7">
        <v>2.205721</v>
      </c>
      <c r="G12" s="7">
        <v>2.1992950000000002</v>
      </c>
      <c r="H12" s="7">
        <v>2.2154159999999998</v>
      </c>
      <c r="I12" s="7">
        <v>2.2091419999999999</v>
      </c>
      <c r="J12" s="7">
        <v>2.2079559999999998</v>
      </c>
      <c r="K12" s="7">
        <v>2.1965400000000002</v>
      </c>
      <c r="L12" s="7">
        <v>2.2007300000000001</v>
      </c>
      <c r="M12" s="7">
        <v>2.2039900000000001</v>
      </c>
      <c r="N12" s="7">
        <v>2.2036099999999998</v>
      </c>
      <c r="O12" s="7">
        <v>2.1971660000000002</v>
      </c>
      <c r="P12" s="7">
        <v>2.19889</v>
      </c>
      <c r="Q12" s="7">
        <v>2.2066400000000002</v>
      </c>
      <c r="R12" s="7">
        <v>2.19957</v>
      </c>
      <c r="S12" s="9">
        <v>2.1945000000000001</v>
      </c>
      <c r="T12" s="7">
        <v>2.2050800000000002</v>
      </c>
      <c r="U12" s="7">
        <v>2.2036899999999999</v>
      </c>
      <c r="V12" s="7">
        <v>2.210029</v>
      </c>
      <c r="W12" s="7">
        <v>2.2041110000000002</v>
      </c>
      <c r="X12" s="10">
        <v>2.2029570000000001</v>
      </c>
      <c r="Y12" s="10">
        <v>2.206229</v>
      </c>
      <c r="Z12" s="10">
        <v>2.1911360000000002</v>
      </c>
      <c r="AA12" s="10">
        <v>2.191859</v>
      </c>
      <c r="AB12" s="10">
        <v>2.2056209999999998</v>
      </c>
      <c r="AC12" s="10">
        <v>2.204189</v>
      </c>
      <c r="AD12" s="10">
        <v>2.2166359999999998</v>
      </c>
      <c r="AE12" s="7">
        <v>2.1934629999999999</v>
      </c>
      <c r="AF12" s="7">
        <v>2.2060780000000002</v>
      </c>
      <c r="AG12" s="7">
        <v>2.2065670000000002</v>
      </c>
      <c r="AH12" s="7">
        <v>2.1968290000000001</v>
      </c>
      <c r="AI12" s="7">
        <v>2.2290260000000002</v>
      </c>
      <c r="AJ12" s="7">
        <v>2.269612</v>
      </c>
      <c r="AK12" s="7">
        <v>2.226302</v>
      </c>
      <c r="AL12" s="7">
        <v>2.2715429999999999</v>
      </c>
      <c r="AM12" s="7">
        <v>2.236027</v>
      </c>
      <c r="AN12" s="7">
        <v>2.2364890000000002</v>
      </c>
      <c r="AO12" s="7">
        <v>2.234801</v>
      </c>
      <c r="AP12" s="7">
        <v>2.2357320000000001</v>
      </c>
      <c r="AQ12" s="7">
        <v>2.2367059999999999</v>
      </c>
      <c r="AR12" s="7">
        <v>2.2371810000000001</v>
      </c>
      <c r="AS12" s="7">
        <v>2.2183799999999998</v>
      </c>
      <c r="AT12" s="7">
        <v>2.2199879999999999</v>
      </c>
      <c r="AU12" s="7">
        <v>2.2286959999999998</v>
      </c>
      <c r="AV12" s="12">
        <v>2.2325499999999998</v>
      </c>
      <c r="AW12" s="7">
        <v>2.2353700000000001</v>
      </c>
      <c r="AX12" s="7">
        <v>2.2627600000000001</v>
      </c>
      <c r="AY12" s="7">
        <v>2.2292869999999998</v>
      </c>
      <c r="AZ12" s="7">
        <v>2.2302620000000002</v>
      </c>
      <c r="BA12" s="34">
        <v>2.2333180000000001</v>
      </c>
      <c r="BB12" s="12">
        <v>2.2345640000000002</v>
      </c>
      <c r="BC12" s="7">
        <v>2.2288600000000001</v>
      </c>
      <c r="BD12" s="7">
        <v>2.2280199999999999</v>
      </c>
      <c r="BE12" s="7">
        <v>2.2647882400000001</v>
      </c>
      <c r="BF12" s="7">
        <v>2.23346</v>
      </c>
      <c r="BG12" s="7">
        <v>2.2334100000000001</v>
      </c>
      <c r="BH12" s="9">
        <v>2.22538942</v>
      </c>
      <c r="BI12" s="7">
        <v>2.2302998999999999</v>
      </c>
      <c r="BJ12" s="7">
        <v>2.2842994600000002</v>
      </c>
      <c r="BK12" s="7">
        <v>2.207255</v>
      </c>
      <c r="BL12" s="7">
        <v>2.2218819999999999</v>
      </c>
      <c r="BM12" s="7">
        <v>2.2363719999999998</v>
      </c>
      <c r="BN12" s="7">
        <v>2.2770320000000002</v>
      </c>
      <c r="BO12" s="7">
        <v>2.231824</v>
      </c>
      <c r="BP12" s="35">
        <v>2.1715194000000002</v>
      </c>
      <c r="BQ12" s="7">
        <v>2.16073</v>
      </c>
      <c r="BR12" s="7">
        <v>2.1618050000000002</v>
      </c>
      <c r="BS12" s="7">
        <v>2.1738900000000001</v>
      </c>
      <c r="BT12" s="7">
        <v>2.1551399999999998</v>
      </c>
      <c r="BU12" s="7">
        <v>2.1535099999999998</v>
      </c>
      <c r="BV12" s="7">
        <v>2.1952199999999999</v>
      </c>
      <c r="BW12" s="7">
        <v>2.1942599999999999</v>
      </c>
      <c r="BX12" s="7">
        <v>2.1643840000000001</v>
      </c>
      <c r="BY12" s="36">
        <v>2.1572</v>
      </c>
      <c r="BZ12" s="7">
        <v>2.1943619999999999</v>
      </c>
      <c r="CA12" s="7">
        <v>2.172323</v>
      </c>
      <c r="CB12" s="7">
        <v>2.1767569999999998</v>
      </c>
      <c r="CC12" s="7">
        <v>2.1839819999999999</v>
      </c>
      <c r="CD12" s="7">
        <v>2.1861169999999999</v>
      </c>
      <c r="CE12" s="34">
        <v>2.1766399999999999</v>
      </c>
      <c r="CF12" s="34">
        <v>2.17645</v>
      </c>
      <c r="CG12" s="7">
        <v>2.1890299999999998</v>
      </c>
      <c r="CH12" s="7">
        <v>2.1962480000000002</v>
      </c>
      <c r="CI12" s="7">
        <v>2.1945997099999999</v>
      </c>
      <c r="CJ12" s="7">
        <v>2.1841499999999998</v>
      </c>
      <c r="CK12" s="7">
        <v>2.1840670000000002</v>
      </c>
      <c r="CL12" s="36">
        <v>2.1789999999999998</v>
      </c>
      <c r="CM12" s="7">
        <v>2.1964700000000001</v>
      </c>
      <c r="CN12" s="7">
        <v>2.2217699999999998</v>
      </c>
      <c r="CO12" s="7">
        <v>2.2169599999999998</v>
      </c>
      <c r="CP12" s="7">
        <v>2.2195480000000001</v>
      </c>
      <c r="CQ12" s="7">
        <v>2.2142819999999999</v>
      </c>
      <c r="CR12" s="7">
        <v>2.2200099999999998</v>
      </c>
      <c r="CS12" s="7">
        <v>2.2249569999999999</v>
      </c>
      <c r="CT12" s="7">
        <v>2.2208739999999998</v>
      </c>
      <c r="CU12" s="7">
        <v>2.2179679999999999</v>
      </c>
      <c r="CV12" s="16">
        <v>2.2183480000000002</v>
      </c>
      <c r="CW12" s="16">
        <v>2.2183480000000002</v>
      </c>
      <c r="CX12" s="10">
        <v>2.2256909999999999</v>
      </c>
      <c r="CY12" s="10">
        <v>2.2277879999999999</v>
      </c>
      <c r="CZ12" s="10">
        <v>2.2143130000000002</v>
      </c>
      <c r="DA12" s="10">
        <v>2.2147739999999998</v>
      </c>
      <c r="DB12" s="7">
        <v>2.2267980000000001</v>
      </c>
      <c r="DC12" s="7">
        <v>2.2133949999999998</v>
      </c>
      <c r="DD12" s="7">
        <v>2.2223329999999999</v>
      </c>
      <c r="DE12" s="7">
        <v>2.2163560000000002</v>
      </c>
      <c r="DF12" s="7">
        <v>2.215935</v>
      </c>
      <c r="DG12" s="7">
        <v>2.2178659999999999</v>
      </c>
      <c r="DH12" s="7">
        <v>2.2192291000000002</v>
      </c>
      <c r="DI12" s="7">
        <v>2.2164999999999999</v>
      </c>
      <c r="DJ12" s="7">
        <v>2.2136779999999998</v>
      </c>
      <c r="DK12" s="7">
        <v>2.2403430000000002</v>
      </c>
      <c r="DL12" s="7">
        <v>2.2424719999999998</v>
      </c>
      <c r="DM12" s="7">
        <v>2.2501600000000002</v>
      </c>
      <c r="DN12" s="7">
        <v>2.25021</v>
      </c>
      <c r="DO12" s="7">
        <v>2.2476060000000002</v>
      </c>
      <c r="DP12" s="34">
        <v>2.2415080000000001</v>
      </c>
      <c r="DQ12" s="7">
        <v>2.2399900000000001</v>
      </c>
      <c r="DR12" s="7">
        <v>2.2419349999999998</v>
      </c>
      <c r="DS12" s="7">
        <v>2.2448299999999999</v>
      </c>
      <c r="DT12" s="21">
        <v>2245278</v>
      </c>
      <c r="DU12" s="37">
        <v>2.244796</v>
      </c>
      <c r="DV12" s="7">
        <v>2.23888</v>
      </c>
      <c r="DW12" s="7">
        <v>2.2399300000000002</v>
      </c>
      <c r="DX12" s="7">
        <v>2.2454999999999998</v>
      </c>
      <c r="DY12" s="7">
        <v>2.2477800000000001</v>
      </c>
      <c r="DZ12" s="7">
        <v>2.248999</v>
      </c>
      <c r="EA12" s="7">
        <v>2.2442470000000001</v>
      </c>
    </row>
    <row r="13" spans="1:131" x14ac:dyDescent="0.3">
      <c r="A13" s="6" t="s">
        <v>377</v>
      </c>
      <c r="B13" s="7">
        <v>-76.585881999999998</v>
      </c>
      <c r="C13" s="7">
        <v>-76.600301000000002</v>
      </c>
      <c r="D13" s="7">
        <v>-76.595206000000005</v>
      </c>
      <c r="E13" s="7">
        <v>-76.585725999999994</v>
      </c>
      <c r="F13" s="7">
        <v>-76.584440000000001</v>
      </c>
      <c r="G13" s="7">
        <v>-76.593669000000006</v>
      </c>
      <c r="H13" s="7">
        <v>-76.579622999999998</v>
      </c>
      <c r="I13" s="7">
        <v>-76.606330999999997</v>
      </c>
      <c r="J13" s="7">
        <v>-76.598910000000004</v>
      </c>
      <c r="K13" s="7">
        <v>-76.590599999999995</v>
      </c>
      <c r="L13" s="7">
        <v>-76.591380000000001</v>
      </c>
      <c r="M13" s="7">
        <v>-76.584249999999997</v>
      </c>
      <c r="N13" s="7">
        <v>-76.589849999999998</v>
      </c>
      <c r="O13" s="7">
        <v>-76.593718999999993</v>
      </c>
      <c r="P13" s="7">
        <v>-76.593149999999994</v>
      </c>
      <c r="Q13" s="7">
        <v>-76.596040000000002</v>
      </c>
      <c r="R13" s="7">
        <v>-76.590459999999993</v>
      </c>
      <c r="S13" s="9">
        <v>-76.591210000000004</v>
      </c>
      <c r="T13" s="7">
        <v>-76.588750000000005</v>
      </c>
      <c r="U13" s="7">
        <v>-76.606780000000001</v>
      </c>
      <c r="V13" s="7">
        <v>-76.605180000000004</v>
      </c>
      <c r="W13" s="7">
        <v>2.2041110000000002</v>
      </c>
      <c r="X13" s="10">
        <v>-76.588507000000007</v>
      </c>
      <c r="Y13" s="10">
        <v>-76.593711999999996</v>
      </c>
      <c r="Z13" s="10">
        <v>-76.586893000000003</v>
      </c>
      <c r="AA13" s="10">
        <v>-76.587395999999998</v>
      </c>
      <c r="AB13" s="10">
        <v>-76.596142999999998</v>
      </c>
      <c r="AC13" s="10">
        <v>-76.594264999999993</v>
      </c>
      <c r="AD13" s="10">
        <v>-76.585097000000005</v>
      </c>
      <c r="AE13" s="7">
        <v>-76.587776000000005</v>
      </c>
      <c r="AF13" s="7">
        <v>-76.600880000000004</v>
      </c>
      <c r="AG13" s="7">
        <v>-76.597553000000005</v>
      </c>
      <c r="AH13" s="7">
        <v>-76.591497000000004</v>
      </c>
      <c r="AI13" s="7">
        <v>-76.551559999999995</v>
      </c>
      <c r="AJ13" s="7">
        <v>-76.552383000000006</v>
      </c>
      <c r="AK13" s="7">
        <v>-76.537474000000003</v>
      </c>
      <c r="AL13" s="7">
        <v>-76.555304000000007</v>
      </c>
      <c r="AM13" s="7">
        <v>-76.561926999999997</v>
      </c>
      <c r="AN13" s="7">
        <v>-76.559169999999995</v>
      </c>
      <c r="AO13" s="7">
        <v>-76.559129999999996</v>
      </c>
      <c r="AP13" s="7">
        <v>-76.559060000000002</v>
      </c>
      <c r="AQ13" s="7">
        <v>-76.555700000000002</v>
      </c>
      <c r="AR13" s="7">
        <v>-76.562021999999999</v>
      </c>
      <c r="AS13" s="7">
        <v>-76.534700000000001</v>
      </c>
      <c r="AT13" s="7">
        <v>-76.543769999999995</v>
      </c>
      <c r="AU13" s="7">
        <v>-76.553129999999996</v>
      </c>
      <c r="AV13" s="12">
        <v>-76.550650000000005</v>
      </c>
      <c r="AW13" s="7">
        <v>-76.556060000000002</v>
      </c>
      <c r="AX13" s="7">
        <v>-76.556060000000002</v>
      </c>
      <c r="AY13" s="7">
        <v>-76.544141999999994</v>
      </c>
      <c r="AZ13" s="7">
        <v>-76.540982999999997</v>
      </c>
      <c r="BA13" s="7">
        <v>-76.549420999999995</v>
      </c>
      <c r="BB13" s="12">
        <v>-76.557091999999997</v>
      </c>
      <c r="BC13" s="7">
        <v>-76.550380000000004</v>
      </c>
      <c r="BD13" s="7">
        <v>-76.548919999999995</v>
      </c>
      <c r="BE13" s="7">
        <v>-76.557161239999999</v>
      </c>
      <c r="BF13" s="7">
        <v>-76.558440000000004</v>
      </c>
      <c r="BG13" s="7">
        <v>-76.557879999999997</v>
      </c>
      <c r="BH13" s="9">
        <v>-76.538738510000002</v>
      </c>
      <c r="BI13" s="7">
        <v>-76.549378500000003</v>
      </c>
      <c r="BJ13" s="7">
        <v>-76.544377589999996</v>
      </c>
      <c r="BK13" s="7">
        <v>-76.552987999999999</v>
      </c>
      <c r="BL13" s="7">
        <v>-76.551289999999995</v>
      </c>
      <c r="BM13" s="7">
        <v>-76.547623000000002</v>
      </c>
      <c r="BN13" s="38">
        <v>-76.548429999999996</v>
      </c>
      <c r="BO13" s="7">
        <v>-76.554485</v>
      </c>
      <c r="BP13" s="7">
        <v>-76.624019399999995</v>
      </c>
      <c r="BQ13" s="7">
        <v>-76.601010000000002</v>
      </c>
      <c r="BR13" s="7">
        <v>-76.607033999999999</v>
      </c>
      <c r="BS13" s="7">
        <v>-76.611800000000002</v>
      </c>
      <c r="BT13" s="7">
        <v>-76.626819999999995</v>
      </c>
      <c r="BU13" s="7">
        <v>-76.617450000000005</v>
      </c>
      <c r="BV13" s="7">
        <v>-76.629329999999996</v>
      </c>
      <c r="BW13" s="7">
        <v>-76.626429999999999</v>
      </c>
      <c r="BX13" s="7">
        <v>-76.605526999999995</v>
      </c>
      <c r="BY13" s="7">
        <v>-76.593419999999995</v>
      </c>
      <c r="BZ13" s="39">
        <v>-76.639987000000005</v>
      </c>
      <c r="CA13" s="7">
        <v>-76.606167999999997</v>
      </c>
      <c r="CB13" s="7">
        <v>-76.622073999999998</v>
      </c>
      <c r="CC13" s="7">
        <v>-76.630285000000001</v>
      </c>
      <c r="CD13" s="7">
        <v>-76.632132999999996</v>
      </c>
      <c r="CE13" s="37">
        <v>-76.619460000000004</v>
      </c>
      <c r="CF13" s="34">
        <v>-76.620040000000003</v>
      </c>
      <c r="CG13" s="7">
        <v>-76.637309999999999</v>
      </c>
      <c r="CH13" s="37">
        <v>-76.632176000000001</v>
      </c>
      <c r="CI13" s="34">
        <v>-76.638890000000004</v>
      </c>
      <c r="CJ13" s="7">
        <v>-76.634069999999994</v>
      </c>
      <c r="CK13" s="7">
        <v>-76.624295000000004</v>
      </c>
      <c r="CL13" s="7">
        <v>-76.618430000000004</v>
      </c>
      <c r="CM13" s="7">
        <v>-76.633189999999999</v>
      </c>
      <c r="CN13" s="7">
        <v>-76.585530000000006</v>
      </c>
      <c r="CO13" s="7">
        <v>-76.587559999999996</v>
      </c>
      <c r="CP13" s="7">
        <v>-76.590069999999997</v>
      </c>
      <c r="CQ13" s="7">
        <v>-76.586067999999997</v>
      </c>
      <c r="CR13" s="7">
        <v>-76.590665000000001</v>
      </c>
      <c r="CS13" s="7">
        <v>-76.596324999999993</v>
      </c>
      <c r="CT13" s="7">
        <v>-76.585534999999993</v>
      </c>
      <c r="CU13" s="7">
        <v>-76.588310000000007</v>
      </c>
      <c r="CV13" s="16">
        <v>-76.585953000000003</v>
      </c>
      <c r="CW13" s="16">
        <v>-76.585953000000003</v>
      </c>
      <c r="CX13" s="10">
        <v>-76.585001000000005</v>
      </c>
      <c r="CY13" s="10">
        <v>-76.584909999999994</v>
      </c>
      <c r="CZ13" s="10">
        <v>-76.594890000000007</v>
      </c>
      <c r="DA13" s="10">
        <v>-76.593581</v>
      </c>
      <c r="DB13" s="7">
        <v>-76.581660999999997</v>
      </c>
      <c r="DC13" s="7">
        <v>-76.598290000000006</v>
      </c>
      <c r="DD13" s="7">
        <v>-76.582863000000003</v>
      </c>
      <c r="DE13" s="7">
        <v>-76.582550999999995</v>
      </c>
      <c r="DF13" s="7">
        <v>-76.578463999999997</v>
      </c>
      <c r="DG13" s="7">
        <v>-76.596636000000004</v>
      </c>
      <c r="DH13" s="7">
        <v>-76.596391999999994</v>
      </c>
      <c r="DI13" s="7">
        <v>-76.597049999999996</v>
      </c>
      <c r="DJ13" s="7">
        <v>-76.596935000000002</v>
      </c>
      <c r="DK13" s="7">
        <v>-76.546549999999996</v>
      </c>
      <c r="DL13" s="7">
        <v>-76.546497000000002</v>
      </c>
      <c r="DM13" s="7">
        <v>-76.558038999999994</v>
      </c>
      <c r="DN13" s="7">
        <v>-76.556100000000001</v>
      </c>
      <c r="DO13" s="7">
        <v>-76.556989999999999</v>
      </c>
      <c r="DP13" s="34">
        <v>-76.548122000000006</v>
      </c>
      <c r="DQ13" s="7">
        <v>-76.552909999999997</v>
      </c>
      <c r="DR13" s="7">
        <v>-76.548316999999997</v>
      </c>
      <c r="DS13" s="7">
        <v>-76.546909999999997</v>
      </c>
      <c r="DT13" s="40">
        <v>-76.553910999999999</v>
      </c>
      <c r="DU13" s="37">
        <v>-76.550691</v>
      </c>
      <c r="DV13" s="7">
        <v>-76.541200000000003</v>
      </c>
      <c r="DW13" s="7">
        <v>-76.544110000000003</v>
      </c>
      <c r="DX13" s="7">
        <v>-76.552710000000005</v>
      </c>
      <c r="DY13" s="7">
        <v>-76.555160000000001</v>
      </c>
      <c r="DZ13" s="7">
        <v>-76.554284999999993</v>
      </c>
      <c r="EA13" s="7">
        <v>-76.549743000000007</v>
      </c>
    </row>
    <row r="14" spans="1:131" x14ac:dyDescent="0.3">
      <c r="A14" s="6" t="s">
        <v>378</v>
      </c>
      <c r="B14" s="7">
        <v>3132</v>
      </c>
      <c r="C14" s="7">
        <v>2962</v>
      </c>
      <c r="D14" s="7">
        <v>2962</v>
      </c>
      <c r="E14" s="7">
        <v>3087</v>
      </c>
      <c r="F14" s="7">
        <v>3087</v>
      </c>
      <c r="G14" s="7">
        <v>2962</v>
      </c>
      <c r="H14" s="7">
        <v>3290</v>
      </c>
      <c r="I14" s="7">
        <v>2817</v>
      </c>
      <c r="J14" s="7">
        <v>2929</v>
      </c>
      <c r="K14" s="7">
        <v>3123</v>
      </c>
      <c r="L14" s="7">
        <v>3063</v>
      </c>
      <c r="M14" s="7">
        <v>3200</v>
      </c>
      <c r="N14" s="7">
        <v>3066</v>
      </c>
      <c r="O14" s="7">
        <v>3073</v>
      </c>
      <c r="P14" s="7">
        <v>3085</v>
      </c>
      <c r="Q14" s="7">
        <v>2972</v>
      </c>
      <c r="R14" s="7">
        <v>3150</v>
      </c>
      <c r="S14" s="9">
        <v>3132</v>
      </c>
      <c r="T14" s="7">
        <v>3093</v>
      </c>
      <c r="U14" s="7">
        <v>2855</v>
      </c>
      <c r="V14" s="7">
        <v>2850</v>
      </c>
      <c r="W14" s="7">
        <v>3148</v>
      </c>
      <c r="X14" s="10">
        <v>3089</v>
      </c>
      <c r="Y14" s="10">
        <v>3074</v>
      </c>
      <c r="Z14" s="10">
        <v>3278</v>
      </c>
      <c r="AA14" s="10">
        <v>3284</v>
      </c>
      <c r="AB14" s="10">
        <v>2995</v>
      </c>
      <c r="AC14" s="10">
        <v>3017</v>
      </c>
      <c r="AD14" s="10">
        <v>3025</v>
      </c>
      <c r="AE14" s="7">
        <v>3260</v>
      </c>
      <c r="AF14" s="7">
        <v>2934</v>
      </c>
      <c r="AG14" s="7">
        <v>2977</v>
      </c>
      <c r="AH14" s="7">
        <v>3115</v>
      </c>
      <c r="AI14" s="7">
        <v>3054</v>
      </c>
      <c r="AJ14" s="7">
        <v>2994</v>
      </c>
      <c r="AK14" s="7">
        <v>3059</v>
      </c>
      <c r="AL14" s="7">
        <v>2937</v>
      </c>
      <c r="AM14" s="7">
        <v>3250</v>
      </c>
      <c r="AN14" s="7">
        <v>3148</v>
      </c>
      <c r="AO14" s="7">
        <v>3220</v>
      </c>
      <c r="AP14" s="7">
        <v>3148</v>
      </c>
      <c r="AQ14" s="7">
        <v>3090</v>
      </c>
      <c r="AR14" s="7">
        <v>3021</v>
      </c>
      <c r="AS14" s="7">
        <v>2950</v>
      </c>
      <c r="AT14" s="7">
        <v>3124</v>
      </c>
      <c r="AU14" s="7">
        <v>3062</v>
      </c>
      <c r="AV14" s="12">
        <v>2997</v>
      </c>
      <c r="AW14" s="7">
        <v>3097</v>
      </c>
      <c r="AX14" s="7">
        <v>3043</v>
      </c>
      <c r="AY14" s="7">
        <v>2946</v>
      </c>
      <c r="AZ14" s="7">
        <v>2946</v>
      </c>
      <c r="BA14" s="7">
        <v>2984</v>
      </c>
      <c r="BB14" s="12">
        <v>3097</v>
      </c>
      <c r="BC14" s="7">
        <v>3050</v>
      </c>
      <c r="BD14" s="7">
        <v>3043</v>
      </c>
      <c r="BE14" s="7">
        <v>3056</v>
      </c>
      <c r="BF14" s="7">
        <v>3162</v>
      </c>
      <c r="BG14" s="7">
        <v>3158</v>
      </c>
      <c r="BH14" s="9">
        <v>3048</v>
      </c>
      <c r="BI14" s="13">
        <v>3122</v>
      </c>
      <c r="BJ14" s="7">
        <v>2922</v>
      </c>
      <c r="BK14" s="7">
        <v>3200</v>
      </c>
      <c r="BL14" s="7">
        <v>3123</v>
      </c>
      <c r="BM14" s="7">
        <v>2987</v>
      </c>
      <c r="BN14" s="7">
        <v>2953</v>
      </c>
      <c r="BO14" s="7">
        <v>3075</v>
      </c>
      <c r="BP14" s="7">
        <v>2660</v>
      </c>
      <c r="BQ14" s="7">
        <v>2886</v>
      </c>
      <c r="BR14" s="7">
        <v>2742</v>
      </c>
      <c r="BS14" s="7">
        <v>2492</v>
      </c>
      <c r="BT14" s="7">
        <v>3154</v>
      </c>
      <c r="BU14" s="7">
        <v>3457</v>
      </c>
      <c r="BV14" s="7">
        <v>2349</v>
      </c>
      <c r="BW14" s="7">
        <v>2276</v>
      </c>
      <c r="BX14" s="7">
        <v>2665</v>
      </c>
      <c r="BY14" s="7">
        <v>3224</v>
      </c>
      <c r="BZ14" s="13">
        <v>2415</v>
      </c>
      <c r="CA14" s="7">
        <v>2661</v>
      </c>
      <c r="CB14" s="7">
        <v>2503</v>
      </c>
      <c r="CC14" s="7">
        <v>2470</v>
      </c>
      <c r="CD14" s="7">
        <v>2480</v>
      </c>
      <c r="CE14" s="7">
        <v>2413</v>
      </c>
      <c r="CF14" s="7">
        <v>2421</v>
      </c>
      <c r="CG14" s="7">
        <v>2255</v>
      </c>
      <c r="CH14" s="7">
        <v>2253</v>
      </c>
      <c r="CI14" s="7">
        <v>2415</v>
      </c>
      <c r="CJ14" s="7">
        <v>2439</v>
      </c>
      <c r="CK14" s="7">
        <v>2379</v>
      </c>
      <c r="CL14" s="7">
        <v>2445</v>
      </c>
      <c r="CM14" s="7">
        <v>2263</v>
      </c>
      <c r="CN14" s="7">
        <v>3196</v>
      </c>
      <c r="CO14" s="7">
        <v>3098</v>
      </c>
      <c r="CP14" s="7">
        <v>3064</v>
      </c>
      <c r="CQ14" s="7">
        <v>3122</v>
      </c>
      <c r="CR14" s="7">
        <v>3120</v>
      </c>
      <c r="CS14" s="7">
        <v>3102</v>
      </c>
      <c r="CT14" s="7">
        <v>3176</v>
      </c>
      <c r="CU14" s="7">
        <v>3138</v>
      </c>
      <c r="CV14" s="16">
        <v>3162</v>
      </c>
      <c r="CW14" s="16">
        <v>3131</v>
      </c>
      <c r="CX14" s="10">
        <v>3310</v>
      </c>
      <c r="CY14" s="10">
        <v>3303</v>
      </c>
      <c r="CZ14" s="10">
        <v>3136</v>
      </c>
      <c r="DA14" s="10">
        <v>3130</v>
      </c>
      <c r="DB14" s="7">
        <v>3237</v>
      </c>
      <c r="DC14" s="7">
        <v>3136</v>
      </c>
      <c r="DD14" s="7">
        <v>3237</v>
      </c>
      <c r="DE14" s="7">
        <v>3291</v>
      </c>
      <c r="DF14" s="7">
        <v>3291</v>
      </c>
      <c r="DG14" s="7">
        <v>3126</v>
      </c>
      <c r="DH14" s="7">
        <v>3126</v>
      </c>
      <c r="DI14" s="7">
        <v>2974</v>
      </c>
      <c r="DJ14" s="7">
        <v>2990</v>
      </c>
      <c r="DK14" s="7">
        <v>2959</v>
      </c>
      <c r="DL14" s="7">
        <v>2969</v>
      </c>
      <c r="DM14" s="7">
        <v>3163</v>
      </c>
      <c r="DN14" s="7">
        <v>3130</v>
      </c>
      <c r="DO14" s="7">
        <v>3130</v>
      </c>
      <c r="DP14" s="7">
        <v>2984</v>
      </c>
      <c r="DQ14" s="7">
        <v>3030</v>
      </c>
      <c r="DR14" s="7">
        <v>2961</v>
      </c>
      <c r="DS14" s="7">
        <v>2943</v>
      </c>
      <c r="DT14" s="12">
        <v>3062</v>
      </c>
      <c r="DU14" s="7">
        <v>3092</v>
      </c>
      <c r="DV14" s="7">
        <v>2961</v>
      </c>
      <c r="DW14" s="7">
        <v>2962</v>
      </c>
      <c r="DX14" s="7">
        <v>3032</v>
      </c>
      <c r="DY14" s="7">
        <v>3108</v>
      </c>
      <c r="DZ14" s="7">
        <v>3128</v>
      </c>
      <c r="EA14" s="7">
        <v>2995</v>
      </c>
    </row>
    <row r="15" spans="1:131" x14ac:dyDescent="0.3">
      <c r="A15" s="6" t="s">
        <v>379</v>
      </c>
      <c r="B15" s="7" t="s">
        <v>380</v>
      </c>
      <c r="C15" s="7" t="s">
        <v>380</v>
      </c>
      <c r="D15" s="7" t="s">
        <v>380</v>
      </c>
      <c r="E15" s="7" t="s">
        <v>380</v>
      </c>
      <c r="F15" s="7" t="s">
        <v>380</v>
      </c>
      <c r="G15" s="7" t="s">
        <v>380</v>
      </c>
      <c r="H15" s="7" t="s">
        <v>381</v>
      </c>
      <c r="I15" s="7" t="s">
        <v>380</v>
      </c>
      <c r="J15" s="7" t="s">
        <v>380</v>
      </c>
      <c r="K15" s="7" t="s">
        <v>381</v>
      </c>
      <c r="L15" s="7" t="s">
        <v>381</v>
      </c>
      <c r="M15" s="7" t="s">
        <v>381</v>
      </c>
      <c r="N15" s="7" t="s">
        <v>381</v>
      </c>
      <c r="O15" s="7" t="s">
        <v>381</v>
      </c>
      <c r="P15" s="7" t="s">
        <v>381</v>
      </c>
      <c r="Q15" s="7" t="s">
        <v>380</v>
      </c>
      <c r="R15" s="7" t="s">
        <v>380</v>
      </c>
      <c r="S15" s="9" t="s">
        <v>380</v>
      </c>
      <c r="T15" s="7" t="s">
        <v>382</v>
      </c>
      <c r="U15" s="7" t="s">
        <v>380</v>
      </c>
      <c r="V15" s="7" t="s">
        <v>380</v>
      </c>
      <c r="W15" s="7" t="s">
        <v>382</v>
      </c>
      <c r="X15" s="10" t="s">
        <v>383</v>
      </c>
      <c r="Y15" s="10" t="s">
        <v>383</v>
      </c>
      <c r="Z15" s="10" t="s">
        <v>383</v>
      </c>
      <c r="AA15" s="10" t="s">
        <v>383</v>
      </c>
      <c r="AB15" s="10" t="s">
        <v>384</v>
      </c>
      <c r="AC15" s="10" t="s">
        <v>383</v>
      </c>
      <c r="AD15" s="10" t="s">
        <v>383</v>
      </c>
      <c r="AE15" s="7" t="s">
        <v>385</v>
      </c>
      <c r="AF15" s="7" t="s">
        <v>384</v>
      </c>
      <c r="AG15" s="7" t="s">
        <v>384</v>
      </c>
      <c r="AH15" s="7" t="s">
        <v>380</v>
      </c>
      <c r="AI15" s="7" t="s">
        <v>381</v>
      </c>
      <c r="AJ15" s="7" t="s">
        <v>380</v>
      </c>
      <c r="AK15" s="7" t="s">
        <v>381</v>
      </c>
      <c r="AL15" s="7" t="s">
        <v>380</v>
      </c>
      <c r="AM15" s="7" t="s">
        <v>381</v>
      </c>
      <c r="AN15" s="7" t="s">
        <v>381</v>
      </c>
      <c r="AO15" s="7" t="s">
        <v>381</v>
      </c>
      <c r="AP15" s="7" t="s">
        <v>381</v>
      </c>
      <c r="AQ15" s="7" t="s">
        <v>381</v>
      </c>
      <c r="AR15" s="7" t="s">
        <v>381</v>
      </c>
      <c r="AS15" s="7" t="s">
        <v>380</v>
      </c>
      <c r="AT15" s="7" t="s">
        <v>381</v>
      </c>
      <c r="AU15" s="7" t="s">
        <v>381</v>
      </c>
      <c r="AV15" s="12" t="s">
        <v>380</v>
      </c>
      <c r="AW15" s="7" t="s">
        <v>380</v>
      </c>
      <c r="AX15" s="7" t="s">
        <v>380</v>
      </c>
      <c r="AY15" s="7" t="s">
        <v>380</v>
      </c>
      <c r="AZ15" s="9" t="s">
        <v>380</v>
      </c>
      <c r="BA15" s="9" t="s">
        <v>380</v>
      </c>
      <c r="BB15" s="12" t="s">
        <v>380</v>
      </c>
      <c r="BC15" s="7" t="s">
        <v>384</v>
      </c>
      <c r="BD15" s="7" t="s">
        <v>380</v>
      </c>
      <c r="BE15" s="7" t="s">
        <v>384</v>
      </c>
      <c r="BF15" s="7" t="s">
        <v>384</v>
      </c>
      <c r="BG15" s="7" t="s">
        <v>384</v>
      </c>
      <c r="BH15" s="9" t="s">
        <v>384</v>
      </c>
      <c r="BI15" s="13" t="s">
        <v>380</v>
      </c>
      <c r="BJ15" s="7" t="s">
        <v>380</v>
      </c>
      <c r="BK15" s="7" t="str">
        <f>BN15</f>
        <v>FRÍO</v>
      </c>
      <c r="BL15" s="7" t="s">
        <v>384</v>
      </c>
      <c r="BM15" s="7" t="s">
        <v>384</v>
      </c>
      <c r="BN15" s="7" t="s">
        <v>384</v>
      </c>
      <c r="BO15" s="7" t="s">
        <v>384</v>
      </c>
      <c r="BP15" s="7" t="s">
        <v>384</v>
      </c>
      <c r="BQ15" s="7" t="s">
        <v>384</v>
      </c>
      <c r="BR15" s="7" t="s">
        <v>380</v>
      </c>
      <c r="BS15" s="7" t="s">
        <v>385</v>
      </c>
      <c r="BT15" s="7" t="str">
        <f>BS15</f>
        <v xml:space="preserve">FRÍO </v>
      </c>
      <c r="BU15" s="7" t="s">
        <v>386</v>
      </c>
      <c r="BV15" s="7" t="s">
        <v>384</v>
      </c>
      <c r="BW15" s="7" t="s">
        <v>384</v>
      </c>
      <c r="BX15" s="41" t="s">
        <v>380</v>
      </c>
      <c r="BY15" s="7" t="s">
        <v>381</v>
      </c>
      <c r="BZ15" s="7" t="s">
        <v>380</v>
      </c>
      <c r="CA15" s="7" t="s">
        <v>380</v>
      </c>
      <c r="CB15" s="7" t="s">
        <v>380</v>
      </c>
      <c r="CC15" s="7" t="s">
        <v>380</v>
      </c>
      <c r="CD15" s="7" t="s">
        <v>380</v>
      </c>
      <c r="CE15" s="7" t="s">
        <v>380</v>
      </c>
      <c r="CF15" s="7" t="s">
        <v>380</v>
      </c>
      <c r="CG15" s="7" t="s">
        <v>380</v>
      </c>
      <c r="CH15" s="7" t="s">
        <v>380</v>
      </c>
      <c r="CI15" s="7" t="s">
        <v>380</v>
      </c>
      <c r="CJ15" s="7" t="s">
        <v>380</v>
      </c>
      <c r="CK15" s="7" t="s">
        <v>380</v>
      </c>
      <c r="CL15" s="7" t="s">
        <v>380</v>
      </c>
      <c r="CM15" s="7" t="s">
        <v>380</v>
      </c>
      <c r="CN15" s="7" t="s">
        <v>381</v>
      </c>
      <c r="CO15" s="7" t="s">
        <v>381</v>
      </c>
      <c r="CP15" s="7" t="s">
        <v>381</v>
      </c>
      <c r="CQ15" s="7" t="s">
        <v>381</v>
      </c>
      <c r="CR15" s="7" t="s">
        <v>381</v>
      </c>
      <c r="CS15" s="7" t="s">
        <v>381</v>
      </c>
      <c r="CT15" s="7" t="s">
        <v>380</v>
      </c>
      <c r="CU15" s="41" t="s">
        <v>380</v>
      </c>
      <c r="CV15" s="16" t="s">
        <v>383</v>
      </c>
      <c r="CW15" s="16" t="s">
        <v>383</v>
      </c>
      <c r="CX15" s="42" t="s">
        <v>383</v>
      </c>
      <c r="CY15" s="42" t="s">
        <v>383</v>
      </c>
      <c r="CZ15" s="42" t="s">
        <v>383</v>
      </c>
      <c r="DA15" s="42" t="s">
        <v>383</v>
      </c>
      <c r="DB15" s="41" t="s">
        <v>381</v>
      </c>
      <c r="DC15" s="7" t="s">
        <v>381</v>
      </c>
      <c r="DD15" s="7" t="s">
        <v>381</v>
      </c>
      <c r="DE15" s="7" t="s">
        <v>381</v>
      </c>
      <c r="DF15" s="7" t="s">
        <v>381</v>
      </c>
      <c r="DG15" s="7" t="s">
        <v>381</v>
      </c>
      <c r="DH15" s="7" t="s">
        <v>381</v>
      </c>
      <c r="DI15" s="41" t="s">
        <v>380</v>
      </c>
      <c r="DJ15" s="7" t="s">
        <v>380</v>
      </c>
      <c r="DK15" s="7" t="s">
        <v>380</v>
      </c>
      <c r="DL15" s="7" t="s">
        <v>380</v>
      </c>
      <c r="DM15" s="7" t="s">
        <v>381</v>
      </c>
      <c r="DN15" s="7" t="s">
        <v>381</v>
      </c>
      <c r="DO15" s="7" t="s">
        <v>381</v>
      </c>
      <c r="DP15" s="7" t="s">
        <v>380</v>
      </c>
      <c r="DQ15" s="7" t="s">
        <v>380</v>
      </c>
      <c r="DR15" s="7" t="s">
        <v>380</v>
      </c>
      <c r="DS15" s="7" t="s">
        <v>380</v>
      </c>
      <c r="DT15" s="12" t="s">
        <v>380</v>
      </c>
      <c r="DU15" s="7" t="s">
        <v>384</v>
      </c>
      <c r="DV15" s="41" t="s">
        <v>384</v>
      </c>
      <c r="DW15" s="41" t="s">
        <v>384</v>
      </c>
      <c r="DX15" s="41" t="s">
        <v>384</v>
      </c>
      <c r="DY15" s="41" t="s">
        <v>380</v>
      </c>
      <c r="DZ15" s="7" t="s">
        <v>384</v>
      </c>
      <c r="EA15" s="7" t="s">
        <v>384</v>
      </c>
    </row>
    <row r="16" spans="1:131" x14ac:dyDescent="0.3">
      <c r="A16" s="6" t="s">
        <v>387</v>
      </c>
      <c r="B16" s="7" t="s">
        <v>388</v>
      </c>
      <c r="C16" s="7" t="s">
        <v>388</v>
      </c>
      <c r="D16" s="7" t="s">
        <v>388</v>
      </c>
      <c r="E16" s="7" t="s">
        <v>388</v>
      </c>
      <c r="F16" s="7" t="s">
        <v>388</v>
      </c>
      <c r="G16" s="7" t="s">
        <v>388</v>
      </c>
      <c r="H16" s="7" t="s">
        <v>388</v>
      </c>
      <c r="I16" s="7" t="s">
        <v>389</v>
      </c>
      <c r="J16" s="7" t="s">
        <v>389</v>
      </c>
      <c r="K16" s="7" t="s">
        <v>389</v>
      </c>
      <c r="L16" s="7" t="s">
        <v>389</v>
      </c>
      <c r="M16" s="7" t="s">
        <v>389</v>
      </c>
      <c r="N16" s="7" t="s">
        <v>389</v>
      </c>
      <c r="O16" s="7" t="s">
        <v>389</v>
      </c>
      <c r="P16" s="7" t="s">
        <v>389</v>
      </c>
      <c r="Q16" s="7" t="s">
        <v>389</v>
      </c>
      <c r="R16" s="43" t="s">
        <v>390</v>
      </c>
      <c r="S16" s="43" t="s">
        <v>390</v>
      </c>
      <c r="T16" s="43" t="s">
        <v>390</v>
      </c>
      <c r="U16" s="43" t="s">
        <v>390</v>
      </c>
      <c r="V16" s="43" t="s">
        <v>390</v>
      </c>
      <c r="W16" s="43" t="s">
        <v>390</v>
      </c>
      <c r="X16" s="43" t="s">
        <v>391</v>
      </c>
      <c r="Y16" s="43" t="s">
        <v>391</v>
      </c>
      <c r="Z16" s="43" t="s">
        <v>391</v>
      </c>
      <c r="AA16" s="43" t="s">
        <v>391</v>
      </c>
      <c r="AB16" s="43" t="s">
        <v>391</v>
      </c>
      <c r="AC16" s="43" t="s">
        <v>391</v>
      </c>
      <c r="AD16" s="43" t="s">
        <v>391</v>
      </c>
      <c r="AE16" s="43" t="s">
        <v>392</v>
      </c>
      <c r="AF16" s="43" t="s">
        <v>392</v>
      </c>
      <c r="AG16" s="43" t="s">
        <v>392</v>
      </c>
      <c r="AH16" s="43" t="s">
        <v>390</v>
      </c>
      <c r="AI16" s="7" t="s">
        <v>389</v>
      </c>
      <c r="AJ16" s="7" t="s">
        <v>389</v>
      </c>
      <c r="AK16" s="7" t="s">
        <v>389</v>
      </c>
      <c r="AL16" s="7" t="s">
        <v>389</v>
      </c>
      <c r="AM16" s="7" t="s">
        <v>389</v>
      </c>
      <c r="AN16" s="7" t="s">
        <v>389</v>
      </c>
      <c r="AO16" s="7" t="s">
        <v>389</v>
      </c>
      <c r="AP16" s="7" t="s">
        <v>389</v>
      </c>
      <c r="AQ16" s="7" t="s">
        <v>389</v>
      </c>
      <c r="AR16" s="7" t="s">
        <v>389</v>
      </c>
      <c r="AS16" s="7" t="s">
        <v>389</v>
      </c>
      <c r="AT16" s="7" t="s">
        <v>389</v>
      </c>
      <c r="AU16" s="7" t="s">
        <v>389</v>
      </c>
      <c r="AV16" s="7" t="s">
        <v>388</v>
      </c>
      <c r="AW16" s="7" t="s">
        <v>388</v>
      </c>
      <c r="AX16" s="7" t="s">
        <v>388</v>
      </c>
      <c r="AY16" s="7" t="s">
        <v>388</v>
      </c>
      <c r="AZ16" s="7" t="s">
        <v>388</v>
      </c>
      <c r="BA16" s="7" t="s">
        <v>388</v>
      </c>
      <c r="BB16" s="7" t="s">
        <v>388</v>
      </c>
      <c r="BC16" s="43" t="s">
        <v>390</v>
      </c>
      <c r="BD16" s="43" t="s">
        <v>390</v>
      </c>
      <c r="BE16" s="43" t="s">
        <v>390</v>
      </c>
      <c r="BF16" s="43" t="s">
        <v>390</v>
      </c>
      <c r="BG16" s="43" t="s">
        <v>390</v>
      </c>
      <c r="BH16" s="43" t="s">
        <v>390</v>
      </c>
      <c r="BI16" s="43" t="s">
        <v>390</v>
      </c>
      <c r="BJ16" s="43" t="s">
        <v>390</v>
      </c>
      <c r="BK16" s="43" t="s">
        <v>392</v>
      </c>
      <c r="BL16" s="43" t="s">
        <v>392</v>
      </c>
      <c r="BM16" s="43" t="s">
        <v>392</v>
      </c>
      <c r="BN16" s="43" t="s">
        <v>392</v>
      </c>
      <c r="BO16" s="43" t="s">
        <v>392</v>
      </c>
      <c r="BP16" s="44" t="s">
        <v>390</v>
      </c>
      <c r="BQ16" s="44" t="s">
        <v>390</v>
      </c>
      <c r="BR16" s="44" t="s">
        <v>390</v>
      </c>
      <c r="BS16" s="44" t="s">
        <v>390</v>
      </c>
      <c r="BT16" s="44" t="s">
        <v>390</v>
      </c>
      <c r="BU16" s="44" t="s">
        <v>390</v>
      </c>
      <c r="BV16" s="44" t="s">
        <v>390</v>
      </c>
      <c r="BW16" s="44" t="s">
        <v>390</v>
      </c>
      <c r="BX16" s="7" t="s">
        <v>389</v>
      </c>
      <c r="BY16" s="7" t="s">
        <v>389</v>
      </c>
      <c r="BZ16" s="7" t="s">
        <v>389</v>
      </c>
      <c r="CA16" s="7" t="s">
        <v>389</v>
      </c>
      <c r="CB16" s="7" t="s">
        <v>389</v>
      </c>
      <c r="CC16" s="7" t="s">
        <v>389</v>
      </c>
      <c r="CD16" s="7" t="s">
        <v>389</v>
      </c>
      <c r="CE16" s="43" t="s">
        <v>388</v>
      </c>
      <c r="CF16" s="43" t="s">
        <v>388</v>
      </c>
      <c r="CG16" s="43" t="s">
        <v>388</v>
      </c>
      <c r="CH16" s="43" t="s">
        <v>388</v>
      </c>
      <c r="CI16" s="43" t="s">
        <v>388</v>
      </c>
      <c r="CJ16" s="43" t="s">
        <v>388</v>
      </c>
      <c r="CK16" s="43" t="s">
        <v>388</v>
      </c>
      <c r="CL16" s="43" t="s">
        <v>388</v>
      </c>
      <c r="CM16" s="43" t="s">
        <v>390</v>
      </c>
      <c r="CN16" s="43" t="s">
        <v>389</v>
      </c>
      <c r="CO16" s="43" t="s">
        <v>389</v>
      </c>
      <c r="CP16" s="43" t="s">
        <v>389</v>
      </c>
      <c r="CQ16" s="43" t="s">
        <v>389</v>
      </c>
      <c r="CR16" s="43" t="s">
        <v>389</v>
      </c>
      <c r="CS16" s="32" t="s">
        <v>388</v>
      </c>
      <c r="CT16" s="45" t="s">
        <v>392</v>
      </c>
      <c r="CU16" s="7" t="s">
        <v>392</v>
      </c>
      <c r="CV16" s="10" t="s">
        <v>393</v>
      </c>
      <c r="CW16" s="10" t="s">
        <v>393</v>
      </c>
      <c r="CX16" s="10" t="s">
        <v>393</v>
      </c>
      <c r="CY16" s="10" t="s">
        <v>393</v>
      </c>
      <c r="CZ16" s="10" t="s">
        <v>393</v>
      </c>
      <c r="DA16" s="10" t="s">
        <v>393</v>
      </c>
      <c r="DB16" s="10" t="s">
        <v>388</v>
      </c>
      <c r="DC16" s="10" t="s">
        <v>388</v>
      </c>
      <c r="DD16" s="10" t="s">
        <v>388</v>
      </c>
      <c r="DE16" s="10" t="s">
        <v>388</v>
      </c>
      <c r="DF16" s="10" t="s">
        <v>388</v>
      </c>
      <c r="DG16" s="10" t="s">
        <v>388</v>
      </c>
      <c r="DH16" s="10" t="s">
        <v>388</v>
      </c>
      <c r="DI16" s="10" t="s">
        <v>390</v>
      </c>
      <c r="DJ16" s="31" t="s">
        <v>392</v>
      </c>
      <c r="DK16" s="31" t="s">
        <v>389</v>
      </c>
      <c r="DL16" s="31" t="s">
        <v>389</v>
      </c>
      <c r="DM16" s="31" t="s">
        <v>389</v>
      </c>
      <c r="DN16" s="31" t="s">
        <v>389</v>
      </c>
      <c r="DO16" s="31" t="s">
        <v>389</v>
      </c>
      <c r="DP16" s="31" t="s">
        <v>388</v>
      </c>
      <c r="DQ16" s="31" t="s">
        <v>388</v>
      </c>
      <c r="DR16" s="31" t="s">
        <v>388</v>
      </c>
      <c r="DS16" s="31" t="s">
        <v>388</v>
      </c>
      <c r="DT16" s="31" t="s">
        <v>388</v>
      </c>
      <c r="DU16" s="32" t="s">
        <v>390</v>
      </c>
      <c r="DV16" s="46" t="s">
        <v>390</v>
      </c>
      <c r="DW16" s="46" t="s">
        <v>390</v>
      </c>
      <c r="DX16" s="46" t="s">
        <v>390</v>
      </c>
      <c r="DY16" s="46" t="s">
        <v>390</v>
      </c>
      <c r="DZ16" s="47" t="s">
        <v>392</v>
      </c>
      <c r="EA16" s="47" t="s">
        <v>392</v>
      </c>
    </row>
    <row r="17" spans="1:131" x14ac:dyDescent="0.3">
      <c r="A17" s="48" t="s">
        <v>394</v>
      </c>
      <c r="B17" s="9"/>
      <c r="C17" s="7"/>
      <c r="D17" s="7"/>
      <c r="E17" s="7"/>
      <c r="F17" s="7"/>
      <c r="G17" s="7"/>
      <c r="H17" s="7"/>
      <c r="I17" s="7"/>
      <c r="J17" s="7"/>
      <c r="K17" s="7"/>
      <c r="L17" s="7"/>
      <c r="M17" s="7"/>
      <c r="N17" s="7"/>
      <c r="O17" s="7"/>
      <c r="P17" s="7"/>
      <c r="Q17" s="7"/>
      <c r="R17" s="7"/>
      <c r="S17" s="7"/>
      <c r="T17" s="7"/>
      <c r="U17" s="7"/>
      <c r="V17" s="7"/>
      <c r="W17" s="7"/>
      <c r="X17" s="7"/>
      <c r="Y17" s="7"/>
      <c r="Z17" s="7"/>
      <c r="AA17" s="7"/>
      <c r="AB17" s="49"/>
      <c r="AC17" s="49"/>
      <c r="AD17" s="49"/>
      <c r="AE17" s="44"/>
      <c r="AF17" s="44"/>
      <c r="AG17" s="44"/>
      <c r="AH17" s="44"/>
      <c r="AI17" s="7"/>
      <c r="AJ17" s="7"/>
      <c r="AK17" s="7"/>
      <c r="AL17" s="7"/>
      <c r="AM17" s="7"/>
      <c r="AN17" s="7"/>
      <c r="AO17" s="7"/>
      <c r="AP17" s="7"/>
      <c r="AQ17" s="7"/>
      <c r="AR17" s="7"/>
      <c r="AS17" s="7"/>
      <c r="AT17" s="7"/>
      <c r="AU17" s="7"/>
      <c r="AV17" s="7"/>
      <c r="AW17" s="7"/>
      <c r="AX17" s="7"/>
      <c r="AY17" s="7"/>
      <c r="AZ17" s="7"/>
      <c r="BA17" s="7"/>
      <c r="BB17" s="7"/>
      <c r="BC17" s="7"/>
      <c r="BD17" s="7"/>
      <c r="BE17" s="7"/>
      <c r="BF17" s="7"/>
      <c r="BG17" s="7"/>
      <c r="BH17" s="7"/>
      <c r="BI17" s="7"/>
      <c r="BJ17" s="7"/>
      <c r="BK17" s="7"/>
      <c r="BL17" s="7"/>
      <c r="BM17" s="7"/>
      <c r="BN17" s="7"/>
      <c r="BO17" s="7"/>
      <c r="BP17" s="145"/>
      <c r="BQ17" s="50"/>
      <c r="BR17" s="50"/>
      <c r="BS17" s="50"/>
      <c r="BT17" s="50"/>
      <c r="BU17" s="50"/>
      <c r="BV17" s="50"/>
      <c r="BW17" s="50"/>
      <c r="BX17" s="50"/>
      <c r="BY17" s="50"/>
      <c r="BZ17" s="50"/>
      <c r="CA17" s="50"/>
      <c r="CB17" s="50"/>
      <c r="CC17" s="50"/>
      <c r="CD17" s="50"/>
      <c r="CE17" s="50"/>
      <c r="CF17" s="50"/>
      <c r="CG17" s="50"/>
      <c r="CH17" s="50"/>
      <c r="CI17" s="50"/>
      <c r="CJ17" s="50"/>
      <c r="CK17" s="50"/>
      <c r="CL17" s="50"/>
      <c r="CM17" s="50"/>
      <c r="CN17" s="50"/>
      <c r="CO17" s="50"/>
      <c r="CP17" s="50"/>
      <c r="CQ17" s="50"/>
      <c r="CR17" s="50"/>
      <c r="CS17" s="50"/>
      <c r="CT17" s="50"/>
      <c r="CU17" s="50"/>
      <c r="CV17" s="51"/>
      <c r="CW17" s="51"/>
      <c r="CX17" s="52"/>
      <c r="CY17" s="52"/>
      <c r="CZ17" s="52"/>
      <c r="DA17" s="52"/>
      <c r="DB17" s="52"/>
      <c r="DC17" s="51"/>
      <c r="DD17" s="51"/>
      <c r="DE17" s="51"/>
      <c r="DF17" s="51"/>
      <c r="DG17" s="53"/>
      <c r="DH17" s="53"/>
      <c r="DI17" s="52"/>
      <c r="DJ17" s="54"/>
      <c r="DK17" s="54"/>
      <c r="DL17" s="54"/>
      <c r="DM17" s="54"/>
      <c r="DN17" s="54"/>
      <c r="DO17" s="54"/>
      <c r="DP17" s="54"/>
      <c r="DQ17" s="54"/>
      <c r="DR17" s="54"/>
      <c r="DS17" s="54"/>
      <c r="DT17" s="54"/>
      <c r="DU17" s="54"/>
      <c r="DV17" s="54"/>
      <c r="DW17" s="54"/>
      <c r="DX17" s="54"/>
      <c r="DY17" s="54"/>
      <c r="DZ17" s="54"/>
      <c r="EA17" s="54"/>
    </row>
    <row r="18" spans="1:131" x14ac:dyDescent="0.3">
      <c r="A18" s="55" t="s">
        <v>395</v>
      </c>
      <c r="B18" s="7">
        <v>3</v>
      </c>
      <c r="C18" s="7">
        <v>4</v>
      </c>
      <c r="D18" s="7">
        <v>4</v>
      </c>
      <c r="E18" s="7">
        <v>4</v>
      </c>
      <c r="F18" s="7">
        <v>4</v>
      </c>
      <c r="G18" s="7">
        <v>4</v>
      </c>
      <c r="H18" s="7">
        <v>4</v>
      </c>
      <c r="I18" s="7">
        <v>2</v>
      </c>
      <c r="J18" s="7">
        <v>2</v>
      </c>
      <c r="K18" s="7">
        <v>4</v>
      </c>
      <c r="L18" s="7">
        <v>3</v>
      </c>
      <c r="M18" s="7">
        <v>3</v>
      </c>
      <c r="N18" s="7">
        <v>3</v>
      </c>
      <c r="O18" s="7">
        <v>3</v>
      </c>
      <c r="P18" s="7">
        <v>4</v>
      </c>
      <c r="Q18" s="7">
        <v>3</v>
      </c>
      <c r="R18" s="7">
        <v>3</v>
      </c>
      <c r="S18" s="7">
        <v>1</v>
      </c>
      <c r="T18" s="7">
        <v>1</v>
      </c>
      <c r="U18" s="7">
        <v>1</v>
      </c>
      <c r="V18" s="7">
        <v>2</v>
      </c>
      <c r="W18" s="7">
        <v>1</v>
      </c>
      <c r="X18" s="26">
        <v>3</v>
      </c>
      <c r="Y18" s="26">
        <v>1</v>
      </c>
      <c r="Z18" s="26">
        <v>1</v>
      </c>
      <c r="AA18" s="26">
        <v>3</v>
      </c>
      <c r="AB18" s="26">
        <v>5</v>
      </c>
      <c r="AC18" s="26">
        <v>5</v>
      </c>
      <c r="AD18" s="26">
        <v>4</v>
      </c>
      <c r="AE18" s="26">
        <v>2</v>
      </c>
      <c r="AF18" s="26">
        <v>3</v>
      </c>
      <c r="AG18" s="26">
        <v>2</v>
      </c>
      <c r="AH18" s="7">
        <v>3</v>
      </c>
      <c r="AI18" s="7">
        <v>3</v>
      </c>
      <c r="AJ18" s="7">
        <v>5</v>
      </c>
      <c r="AK18" s="7">
        <v>5</v>
      </c>
      <c r="AL18" s="7">
        <v>4</v>
      </c>
      <c r="AM18" s="7">
        <v>4</v>
      </c>
      <c r="AN18" s="7">
        <v>5</v>
      </c>
      <c r="AO18" s="7">
        <v>5</v>
      </c>
      <c r="AP18" s="7"/>
      <c r="AQ18" s="7">
        <v>5</v>
      </c>
      <c r="AR18" s="7">
        <v>5</v>
      </c>
      <c r="AS18" s="7">
        <v>5</v>
      </c>
      <c r="AT18" s="7">
        <v>4</v>
      </c>
      <c r="AU18" s="7">
        <v>4</v>
      </c>
      <c r="AV18" s="12">
        <v>2</v>
      </c>
      <c r="AW18" s="7">
        <v>4</v>
      </c>
      <c r="AX18" s="7">
        <v>4</v>
      </c>
      <c r="AY18" s="7">
        <v>3</v>
      </c>
      <c r="AZ18" s="7">
        <v>3</v>
      </c>
      <c r="BA18" s="7">
        <v>2</v>
      </c>
      <c r="BB18" s="12">
        <v>4</v>
      </c>
      <c r="BC18" s="26">
        <v>1</v>
      </c>
      <c r="BD18" s="26">
        <v>1</v>
      </c>
      <c r="BE18" s="26">
        <v>1</v>
      </c>
      <c r="BF18" s="26">
        <v>5</v>
      </c>
      <c r="BG18" s="26">
        <v>1</v>
      </c>
      <c r="BH18" s="26">
        <v>1</v>
      </c>
      <c r="BI18" s="26">
        <v>1</v>
      </c>
      <c r="BJ18" s="7">
        <v>3</v>
      </c>
      <c r="BK18" s="26">
        <v>2</v>
      </c>
      <c r="BL18" s="26">
        <v>2</v>
      </c>
      <c r="BM18" s="26">
        <v>1</v>
      </c>
      <c r="BN18" s="26">
        <v>4</v>
      </c>
      <c r="BO18" s="26">
        <v>1</v>
      </c>
      <c r="BP18" s="4">
        <v>2</v>
      </c>
      <c r="BQ18" s="4">
        <v>2</v>
      </c>
      <c r="BR18" s="4">
        <v>2</v>
      </c>
      <c r="BS18" s="4">
        <v>3</v>
      </c>
      <c r="BT18" s="4">
        <v>1</v>
      </c>
      <c r="BU18" s="4">
        <v>1</v>
      </c>
      <c r="BV18" s="4">
        <v>1</v>
      </c>
      <c r="BW18" s="4">
        <v>1</v>
      </c>
      <c r="BX18" s="4">
        <v>4</v>
      </c>
      <c r="BY18" s="4">
        <v>2</v>
      </c>
      <c r="BZ18" s="4">
        <v>3</v>
      </c>
      <c r="CA18" s="4">
        <v>3</v>
      </c>
      <c r="CB18" s="4">
        <v>1</v>
      </c>
      <c r="CC18" s="4">
        <v>3</v>
      </c>
      <c r="CD18" s="4">
        <v>3</v>
      </c>
      <c r="CE18" s="4">
        <v>3</v>
      </c>
      <c r="CF18" s="4">
        <v>4</v>
      </c>
      <c r="CG18" s="4">
        <v>4</v>
      </c>
      <c r="CH18" s="4">
        <v>4</v>
      </c>
      <c r="CI18" s="14">
        <v>3</v>
      </c>
      <c r="CJ18" s="14">
        <v>1</v>
      </c>
      <c r="CK18" s="14">
        <v>1</v>
      </c>
      <c r="CL18" s="14">
        <v>5</v>
      </c>
      <c r="CM18" s="14">
        <v>1</v>
      </c>
      <c r="CN18" s="14">
        <v>3</v>
      </c>
      <c r="CO18" s="14">
        <v>3</v>
      </c>
      <c r="CP18" s="7">
        <v>4</v>
      </c>
      <c r="CQ18" s="14">
        <v>4</v>
      </c>
      <c r="CR18" s="14">
        <v>2</v>
      </c>
      <c r="CS18" s="14">
        <v>4</v>
      </c>
      <c r="CT18" s="14">
        <v>4</v>
      </c>
      <c r="CU18" s="14">
        <v>4</v>
      </c>
      <c r="CV18" s="4">
        <v>4</v>
      </c>
      <c r="CW18" s="4">
        <v>4</v>
      </c>
      <c r="CX18" s="4">
        <v>5</v>
      </c>
      <c r="CY18" s="4">
        <v>1</v>
      </c>
      <c r="CZ18" s="4">
        <v>4</v>
      </c>
      <c r="DA18" s="4">
        <v>4</v>
      </c>
      <c r="DB18" s="7">
        <v>4</v>
      </c>
      <c r="DC18" s="7">
        <v>3</v>
      </c>
      <c r="DD18" s="7">
        <v>4</v>
      </c>
      <c r="DE18" s="7">
        <v>4</v>
      </c>
      <c r="DF18" s="7">
        <v>4</v>
      </c>
      <c r="DG18" s="7">
        <v>4</v>
      </c>
      <c r="DH18" s="7">
        <v>4</v>
      </c>
      <c r="DI18" s="14">
        <v>4</v>
      </c>
      <c r="DJ18" s="27">
        <v>1</v>
      </c>
      <c r="DK18" s="7">
        <v>5</v>
      </c>
      <c r="DL18" s="7">
        <v>5</v>
      </c>
      <c r="DM18" s="7">
        <v>3</v>
      </c>
      <c r="DN18" s="7">
        <v>3</v>
      </c>
      <c r="DO18" s="7">
        <v>4</v>
      </c>
      <c r="DP18" s="14">
        <v>4</v>
      </c>
      <c r="DQ18" s="7">
        <v>4</v>
      </c>
      <c r="DR18" s="7">
        <v>3</v>
      </c>
      <c r="DS18" s="7">
        <v>4</v>
      </c>
      <c r="DT18" s="12">
        <v>5</v>
      </c>
      <c r="DU18" s="4">
        <v>1</v>
      </c>
      <c r="DV18" s="4">
        <v>1</v>
      </c>
      <c r="DW18" s="4">
        <v>5</v>
      </c>
      <c r="DX18" s="14">
        <v>1</v>
      </c>
      <c r="DY18" s="4">
        <v>1</v>
      </c>
      <c r="DZ18" s="4">
        <v>1</v>
      </c>
      <c r="EA18" s="4">
        <v>4</v>
      </c>
    </row>
    <row r="19" spans="1:131" x14ac:dyDescent="0.3">
      <c r="A19" s="55" t="s">
        <v>396</v>
      </c>
      <c r="B19" s="7">
        <v>4</v>
      </c>
      <c r="C19" s="7">
        <v>4</v>
      </c>
      <c r="D19" s="7">
        <v>4</v>
      </c>
      <c r="E19" s="7">
        <v>4</v>
      </c>
      <c r="F19" s="7">
        <v>4</v>
      </c>
      <c r="G19" s="7">
        <v>4</v>
      </c>
      <c r="H19" s="7">
        <v>4</v>
      </c>
      <c r="I19" s="7">
        <v>4</v>
      </c>
      <c r="J19" s="7">
        <v>4</v>
      </c>
      <c r="K19" s="7">
        <v>4</v>
      </c>
      <c r="L19" s="7">
        <v>4</v>
      </c>
      <c r="M19" s="7">
        <v>5</v>
      </c>
      <c r="N19" s="7">
        <v>5</v>
      </c>
      <c r="O19" s="7">
        <v>4</v>
      </c>
      <c r="P19" s="7">
        <v>5</v>
      </c>
      <c r="Q19" s="7">
        <v>5</v>
      </c>
      <c r="R19" s="7">
        <v>5</v>
      </c>
      <c r="S19" s="7">
        <v>4</v>
      </c>
      <c r="T19" s="7">
        <v>5</v>
      </c>
      <c r="U19" s="7">
        <v>4</v>
      </c>
      <c r="V19" s="7">
        <v>5</v>
      </c>
      <c r="W19" s="7">
        <v>5</v>
      </c>
      <c r="X19" s="26">
        <v>4</v>
      </c>
      <c r="Y19" s="26">
        <v>3</v>
      </c>
      <c r="Z19" s="26">
        <v>5</v>
      </c>
      <c r="AA19" s="26">
        <v>5</v>
      </c>
      <c r="AB19" s="26">
        <v>4</v>
      </c>
      <c r="AC19" s="26">
        <v>5</v>
      </c>
      <c r="AD19" s="26">
        <v>5</v>
      </c>
      <c r="AE19" s="26">
        <v>4</v>
      </c>
      <c r="AF19" s="26">
        <v>4</v>
      </c>
      <c r="AG19" s="26">
        <v>4</v>
      </c>
      <c r="AH19" s="7">
        <v>4</v>
      </c>
      <c r="AI19" s="7">
        <v>4</v>
      </c>
      <c r="AJ19" s="7">
        <v>4</v>
      </c>
      <c r="AK19" s="7">
        <v>4</v>
      </c>
      <c r="AL19" s="7">
        <v>5</v>
      </c>
      <c r="AM19" s="7">
        <v>5</v>
      </c>
      <c r="AN19" s="7">
        <v>4</v>
      </c>
      <c r="AO19" s="7">
        <v>4</v>
      </c>
      <c r="AP19" s="7">
        <v>4</v>
      </c>
      <c r="AQ19" s="7">
        <v>4</v>
      </c>
      <c r="AR19" s="7">
        <v>4</v>
      </c>
      <c r="AS19" s="7">
        <v>5</v>
      </c>
      <c r="AT19" s="7">
        <v>4</v>
      </c>
      <c r="AU19" s="7">
        <v>4</v>
      </c>
      <c r="AV19" s="12">
        <v>4</v>
      </c>
      <c r="AW19" s="7">
        <v>4</v>
      </c>
      <c r="AX19" s="7">
        <v>4</v>
      </c>
      <c r="AY19" s="7">
        <v>3</v>
      </c>
      <c r="AZ19" s="7">
        <v>3</v>
      </c>
      <c r="BA19" s="7">
        <v>3</v>
      </c>
      <c r="BB19" s="12">
        <v>4</v>
      </c>
      <c r="BC19" s="26">
        <v>3</v>
      </c>
      <c r="BD19" s="26">
        <v>3</v>
      </c>
      <c r="BE19" s="26">
        <v>4</v>
      </c>
      <c r="BF19" s="26">
        <v>4</v>
      </c>
      <c r="BG19" s="26">
        <v>5</v>
      </c>
      <c r="BH19" s="26">
        <v>2</v>
      </c>
      <c r="BI19" s="26">
        <v>3</v>
      </c>
      <c r="BJ19" s="7">
        <v>4</v>
      </c>
      <c r="BK19" s="26">
        <v>5</v>
      </c>
      <c r="BL19" s="26">
        <v>4</v>
      </c>
      <c r="BM19" s="26">
        <v>4</v>
      </c>
      <c r="BN19" s="26">
        <v>4</v>
      </c>
      <c r="BO19" s="26">
        <v>4</v>
      </c>
      <c r="BP19" s="4">
        <v>4</v>
      </c>
      <c r="BQ19" s="4">
        <v>4</v>
      </c>
      <c r="BR19" s="4">
        <v>1</v>
      </c>
      <c r="BS19" s="4">
        <v>2</v>
      </c>
      <c r="BT19" s="4">
        <v>5</v>
      </c>
      <c r="BU19" s="4">
        <v>3</v>
      </c>
      <c r="BV19" s="4">
        <v>3</v>
      </c>
      <c r="BW19" s="4">
        <v>2</v>
      </c>
      <c r="BX19" s="4">
        <v>4</v>
      </c>
      <c r="BY19" s="4">
        <v>4</v>
      </c>
      <c r="BZ19" s="4">
        <v>3</v>
      </c>
      <c r="CA19" s="4">
        <v>5</v>
      </c>
      <c r="CB19" s="4">
        <v>4</v>
      </c>
      <c r="CC19" s="4">
        <v>4</v>
      </c>
      <c r="CD19" s="4">
        <v>4</v>
      </c>
      <c r="CE19" s="4">
        <v>5</v>
      </c>
      <c r="CF19" s="4">
        <v>4</v>
      </c>
      <c r="CG19" s="4">
        <v>4</v>
      </c>
      <c r="CH19" s="4">
        <v>4</v>
      </c>
      <c r="CI19" s="14">
        <v>3</v>
      </c>
      <c r="CJ19" s="14">
        <v>4</v>
      </c>
      <c r="CK19" s="14">
        <v>4</v>
      </c>
      <c r="CL19" s="14">
        <v>5</v>
      </c>
      <c r="CM19" s="14">
        <v>2</v>
      </c>
      <c r="CN19" s="14">
        <v>3</v>
      </c>
      <c r="CO19" s="14">
        <v>3</v>
      </c>
      <c r="CP19" s="7">
        <v>4</v>
      </c>
      <c r="CQ19" s="14">
        <v>4</v>
      </c>
      <c r="CR19" s="14">
        <v>4</v>
      </c>
      <c r="CS19" s="14">
        <v>4</v>
      </c>
      <c r="CT19" s="14">
        <v>4</v>
      </c>
      <c r="CU19" s="14">
        <v>5</v>
      </c>
      <c r="CV19" s="4">
        <v>5</v>
      </c>
      <c r="CW19" s="4">
        <v>5</v>
      </c>
      <c r="CX19" s="4">
        <v>4</v>
      </c>
      <c r="CY19" s="4">
        <v>3</v>
      </c>
      <c r="CZ19" s="4">
        <v>4</v>
      </c>
      <c r="DA19" s="4">
        <v>4</v>
      </c>
      <c r="DB19" s="7">
        <v>4</v>
      </c>
      <c r="DC19" s="7">
        <v>3</v>
      </c>
      <c r="DD19" s="7">
        <v>4</v>
      </c>
      <c r="DE19" s="7">
        <v>4</v>
      </c>
      <c r="DF19" s="7">
        <v>4</v>
      </c>
      <c r="DG19" s="7">
        <v>4</v>
      </c>
      <c r="DH19" s="7">
        <v>4</v>
      </c>
      <c r="DI19" s="14">
        <v>3</v>
      </c>
      <c r="DJ19" s="7">
        <v>5</v>
      </c>
      <c r="DK19" s="7">
        <v>4</v>
      </c>
      <c r="DL19" s="7">
        <v>5</v>
      </c>
      <c r="DM19" s="7">
        <v>3</v>
      </c>
      <c r="DN19" s="7">
        <v>2</v>
      </c>
      <c r="DO19" s="7">
        <v>4</v>
      </c>
      <c r="DP19" s="14">
        <v>4</v>
      </c>
      <c r="DQ19" s="7">
        <v>4</v>
      </c>
      <c r="DR19" s="7">
        <v>3</v>
      </c>
      <c r="DS19" s="7">
        <v>4</v>
      </c>
      <c r="DT19" s="12">
        <v>4</v>
      </c>
      <c r="DU19" s="4">
        <v>5</v>
      </c>
      <c r="DV19" s="4">
        <v>1</v>
      </c>
      <c r="DW19" s="4">
        <v>1</v>
      </c>
      <c r="DX19" s="14">
        <v>4</v>
      </c>
      <c r="DY19" s="4">
        <v>2</v>
      </c>
      <c r="DZ19" s="4">
        <v>4</v>
      </c>
      <c r="EA19" s="4">
        <v>4</v>
      </c>
    </row>
    <row r="20" spans="1:131" x14ac:dyDescent="0.3">
      <c r="A20" s="55" t="s">
        <v>397</v>
      </c>
      <c r="B20" s="7">
        <v>4</v>
      </c>
      <c r="C20" s="7">
        <v>4</v>
      </c>
      <c r="D20" s="7">
        <v>3</v>
      </c>
      <c r="E20" s="7">
        <v>4</v>
      </c>
      <c r="F20" s="7">
        <v>4</v>
      </c>
      <c r="G20" s="7">
        <v>3</v>
      </c>
      <c r="H20" s="7">
        <v>4</v>
      </c>
      <c r="I20" s="7">
        <v>3</v>
      </c>
      <c r="J20" s="7">
        <v>4</v>
      </c>
      <c r="K20" s="7">
        <v>4</v>
      </c>
      <c r="L20" s="7">
        <v>3</v>
      </c>
      <c r="M20" s="7">
        <v>4</v>
      </c>
      <c r="N20" s="7">
        <v>4</v>
      </c>
      <c r="O20" s="7">
        <v>3</v>
      </c>
      <c r="P20" s="7"/>
      <c r="Q20" s="7">
        <v>3</v>
      </c>
      <c r="R20" s="7">
        <v>4</v>
      </c>
      <c r="S20" s="7">
        <v>4</v>
      </c>
      <c r="T20" s="7">
        <v>4</v>
      </c>
      <c r="U20" s="7">
        <v>3</v>
      </c>
      <c r="V20" s="7"/>
      <c r="W20" s="7">
        <v>4</v>
      </c>
      <c r="X20" s="26">
        <v>2</v>
      </c>
      <c r="Y20" s="26">
        <v>1</v>
      </c>
      <c r="Z20" s="26">
        <v>2</v>
      </c>
      <c r="AA20" s="26">
        <v>2</v>
      </c>
      <c r="AB20" s="26">
        <v>4</v>
      </c>
      <c r="AC20" s="26">
        <v>3</v>
      </c>
      <c r="AD20" s="26">
        <v>5</v>
      </c>
      <c r="AE20" s="26">
        <v>4</v>
      </c>
      <c r="AF20" s="26">
        <v>5</v>
      </c>
      <c r="AG20" s="26">
        <v>5</v>
      </c>
      <c r="AH20" s="7">
        <v>2</v>
      </c>
      <c r="AI20" s="7">
        <v>3</v>
      </c>
      <c r="AJ20" s="7">
        <v>5</v>
      </c>
      <c r="AK20" s="7">
        <v>5</v>
      </c>
      <c r="AL20" s="7">
        <v>5</v>
      </c>
      <c r="AM20" s="7"/>
      <c r="AN20" s="7">
        <v>5</v>
      </c>
      <c r="AO20" s="7">
        <v>4</v>
      </c>
      <c r="AP20" s="7">
        <v>3</v>
      </c>
      <c r="AQ20" s="7">
        <v>5</v>
      </c>
      <c r="AR20" s="7">
        <v>5</v>
      </c>
      <c r="AS20" s="7">
        <v>5</v>
      </c>
      <c r="AT20" s="7">
        <v>3</v>
      </c>
      <c r="AU20" s="7">
        <v>3</v>
      </c>
      <c r="AV20" s="12">
        <v>2</v>
      </c>
      <c r="AW20" s="7">
        <v>4</v>
      </c>
      <c r="AX20" s="7">
        <v>4</v>
      </c>
      <c r="AY20" s="7">
        <v>3</v>
      </c>
      <c r="AZ20" s="7">
        <v>3</v>
      </c>
      <c r="BA20" s="7">
        <v>2</v>
      </c>
      <c r="BB20" s="12">
        <v>3</v>
      </c>
      <c r="BC20" s="26">
        <v>4</v>
      </c>
      <c r="BD20" s="26">
        <v>4</v>
      </c>
      <c r="BE20" s="26">
        <v>4</v>
      </c>
      <c r="BF20" s="26">
        <v>4</v>
      </c>
      <c r="BG20" s="26">
        <v>3</v>
      </c>
      <c r="BH20" s="26">
        <v>4</v>
      </c>
      <c r="BI20" s="26">
        <v>2</v>
      </c>
      <c r="BJ20" s="7">
        <v>4</v>
      </c>
      <c r="BK20" s="26">
        <v>4</v>
      </c>
      <c r="BL20" s="26">
        <v>4</v>
      </c>
      <c r="BM20" s="26">
        <v>4</v>
      </c>
      <c r="BN20" s="26">
        <v>5</v>
      </c>
      <c r="BO20" s="26">
        <v>4</v>
      </c>
      <c r="BP20" s="4">
        <v>4</v>
      </c>
      <c r="BQ20" s="4">
        <v>4</v>
      </c>
      <c r="BR20" s="4">
        <v>2</v>
      </c>
      <c r="BS20" s="4">
        <v>3</v>
      </c>
      <c r="BT20" s="4">
        <v>3</v>
      </c>
      <c r="BU20" s="4">
        <v>2</v>
      </c>
      <c r="BV20" s="4">
        <v>2</v>
      </c>
      <c r="BW20" s="4">
        <v>2</v>
      </c>
      <c r="BX20" s="4">
        <v>5</v>
      </c>
      <c r="BY20" s="4">
        <v>3</v>
      </c>
      <c r="BZ20" s="4">
        <v>4</v>
      </c>
      <c r="CA20" s="4">
        <v>4</v>
      </c>
      <c r="CB20" s="4">
        <v>3</v>
      </c>
      <c r="CC20" s="4">
        <v>4</v>
      </c>
      <c r="CD20" s="4">
        <v>3</v>
      </c>
      <c r="CE20" s="4">
        <v>4</v>
      </c>
      <c r="CF20" s="4">
        <v>4</v>
      </c>
      <c r="CG20" s="4">
        <v>3</v>
      </c>
      <c r="CH20" s="4">
        <v>4</v>
      </c>
      <c r="CI20" s="14">
        <v>4</v>
      </c>
      <c r="CJ20" s="14">
        <v>2</v>
      </c>
      <c r="CK20" s="14">
        <v>3</v>
      </c>
      <c r="CL20" s="14">
        <v>4</v>
      </c>
      <c r="CM20" s="14">
        <v>2</v>
      </c>
      <c r="CN20" s="14">
        <v>4</v>
      </c>
      <c r="CO20" s="14">
        <v>4</v>
      </c>
      <c r="CP20" s="7"/>
      <c r="CQ20" s="14">
        <v>4</v>
      </c>
      <c r="CR20" s="14">
        <v>4</v>
      </c>
      <c r="CS20" s="14">
        <v>4</v>
      </c>
      <c r="CT20" s="14">
        <v>5</v>
      </c>
      <c r="CU20" s="14">
        <v>5</v>
      </c>
      <c r="CV20" s="4">
        <v>5</v>
      </c>
      <c r="CW20" s="4">
        <v>5</v>
      </c>
      <c r="CX20" s="4">
        <v>3</v>
      </c>
      <c r="CY20" s="4">
        <v>3</v>
      </c>
      <c r="CZ20" s="4">
        <v>4</v>
      </c>
      <c r="DA20" s="4">
        <v>4</v>
      </c>
      <c r="DB20" s="7">
        <v>4</v>
      </c>
      <c r="DC20" s="7">
        <v>4</v>
      </c>
      <c r="DD20" s="7">
        <v>4</v>
      </c>
      <c r="DE20" s="7">
        <v>4</v>
      </c>
      <c r="DF20" s="7">
        <v>4</v>
      </c>
      <c r="DG20" s="7">
        <v>4</v>
      </c>
      <c r="DH20" s="7">
        <v>4</v>
      </c>
      <c r="DI20" s="14">
        <v>5</v>
      </c>
      <c r="DJ20" s="7">
        <v>4</v>
      </c>
      <c r="DK20" s="7">
        <v>5</v>
      </c>
      <c r="DL20" s="7">
        <v>5</v>
      </c>
      <c r="DM20" s="7">
        <v>4</v>
      </c>
      <c r="DN20" s="7">
        <v>3</v>
      </c>
      <c r="DO20" s="7">
        <v>3</v>
      </c>
      <c r="DP20" s="14">
        <v>4</v>
      </c>
      <c r="DQ20" s="7">
        <v>3</v>
      </c>
      <c r="DR20" s="7">
        <v>3</v>
      </c>
      <c r="DS20" s="7">
        <v>3</v>
      </c>
      <c r="DT20" s="12">
        <v>5</v>
      </c>
      <c r="DU20" s="4">
        <v>3</v>
      </c>
      <c r="DV20" s="4">
        <v>2</v>
      </c>
      <c r="DW20" s="4">
        <v>5</v>
      </c>
      <c r="DX20" s="14">
        <v>4</v>
      </c>
      <c r="DY20" s="4">
        <v>2</v>
      </c>
      <c r="DZ20" s="4">
        <v>4</v>
      </c>
      <c r="EA20" s="4">
        <v>5</v>
      </c>
    </row>
    <row r="21" spans="1:131" x14ac:dyDescent="0.3">
      <c r="A21" s="55" t="s">
        <v>398</v>
      </c>
      <c r="B21" s="7">
        <v>3</v>
      </c>
      <c r="C21" s="7">
        <v>3</v>
      </c>
      <c r="D21" s="7">
        <v>3</v>
      </c>
      <c r="E21" s="7">
        <v>5</v>
      </c>
      <c r="F21" s="7">
        <v>5</v>
      </c>
      <c r="G21" s="7">
        <v>3</v>
      </c>
      <c r="H21" s="7">
        <v>4</v>
      </c>
      <c r="I21" s="7"/>
      <c r="J21" s="7">
        <v>3</v>
      </c>
      <c r="K21" s="7"/>
      <c r="L21" s="7"/>
      <c r="M21" s="7"/>
      <c r="N21" s="7">
        <v>4</v>
      </c>
      <c r="O21" s="7">
        <v>3</v>
      </c>
      <c r="P21" s="7"/>
      <c r="Q21" s="7"/>
      <c r="R21" s="7">
        <v>5</v>
      </c>
      <c r="S21" s="7"/>
      <c r="T21" s="7">
        <v>3</v>
      </c>
      <c r="U21" s="7"/>
      <c r="V21" s="7"/>
      <c r="W21" s="7">
        <v>4</v>
      </c>
      <c r="X21" s="26">
        <v>3</v>
      </c>
      <c r="Y21" s="26">
        <v>5</v>
      </c>
      <c r="Z21" s="26">
        <v>5</v>
      </c>
      <c r="AA21" s="26">
        <v>4</v>
      </c>
      <c r="AB21" s="26">
        <v>3</v>
      </c>
      <c r="AC21" s="26">
        <v>5</v>
      </c>
      <c r="AD21" s="26">
        <v>5</v>
      </c>
      <c r="AE21" s="26">
        <v>3</v>
      </c>
      <c r="AF21" s="26">
        <v>3</v>
      </c>
      <c r="AG21" s="26">
        <v>4</v>
      </c>
      <c r="AH21" s="7"/>
      <c r="AI21" s="7">
        <v>2</v>
      </c>
      <c r="AJ21" s="7">
        <v>4</v>
      </c>
      <c r="AK21" s="7">
        <v>3</v>
      </c>
      <c r="AL21" s="7">
        <v>4</v>
      </c>
      <c r="AM21" s="7"/>
      <c r="AN21" s="7">
        <v>4</v>
      </c>
      <c r="AO21" s="7">
        <v>3</v>
      </c>
      <c r="AP21" s="7">
        <v>4</v>
      </c>
      <c r="AQ21" s="7">
        <v>4</v>
      </c>
      <c r="AR21" s="7">
        <v>3</v>
      </c>
      <c r="AS21" s="7"/>
      <c r="AT21" s="7"/>
      <c r="AU21" s="7">
        <v>2</v>
      </c>
      <c r="AV21" s="12">
        <v>4</v>
      </c>
      <c r="AW21" s="7">
        <v>4</v>
      </c>
      <c r="AX21" s="7">
        <v>3</v>
      </c>
      <c r="AY21" s="7">
        <v>3</v>
      </c>
      <c r="AZ21" s="7">
        <v>3</v>
      </c>
      <c r="BA21" s="7">
        <v>3</v>
      </c>
      <c r="BB21" s="12">
        <v>3</v>
      </c>
      <c r="BC21" s="26"/>
      <c r="BD21" s="26">
        <v>4</v>
      </c>
      <c r="BE21" s="26"/>
      <c r="BF21" s="26"/>
      <c r="BG21" s="26"/>
      <c r="BH21" s="26">
        <v>3</v>
      </c>
      <c r="BI21" s="26"/>
      <c r="BJ21" s="7">
        <v>4</v>
      </c>
      <c r="BK21" s="26">
        <v>4</v>
      </c>
      <c r="BL21" s="26">
        <v>3</v>
      </c>
      <c r="BM21" s="26">
        <v>4</v>
      </c>
      <c r="BN21" s="26">
        <v>4</v>
      </c>
      <c r="BO21" s="26">
        <v>3</v>
      </c>
      <c r="BP21" s="4">
        <v>4</v>
      </c>
      <c r="BQ21" s="4"/>
      <c r="BR21" s="4">
        <v>3</v>
      </c>
      <c r="BS21" s="4">
        <v>5</v>
      </c>
      <c r="BT21" s="4">
        <v>4</v>
      </c>
      <c r="BU21" s="4">
        <v>4</v>
      </c>
      <c r="BV21" s="4">
        <v>4</v>
      </c>
      <c r="BW21" s="4"/>
      <c r="BX21" s="4">
        <v>2</v>
      </c>
      <c r="BY21" s="4">
        <v>2</v>
      </c>
      <c r="BZ21" s="4"/>
      <c r="CA21" s="4"/>
      <c r="CB21" s="4"/>
      <c r="CC21" s="4">
        <v>3</v>
      </c>
      <c r="CD21" s="4">
        <v>4</v>
      </c>
      <c r="CE21" s="4">
        <v>4</v>
      </c>
      <c r="CF21" s="4">
        <v>4</v>
      </c>
      <c r="CG21" s="4">
        <v>3</v>
      </c>
      <c r="CH21" s="4">
        <v>3</v>
      </c>
      <c r="CI21" s="14"/>
      <c r="CJ21" s="14">
        <v>3</v>
      </c>
      <c r="CK21" s="14">
        <v>4</v>
      </c>
      <c r="CL21" s="14">
        <v>4</v>
      </c>
      <c r="CM21" s="14">
        <v>5</v>
      </c>
      <c r="CN21" s="14">
        <v>-3</v>
      </c>
      <c r="CO21" s="14">
        <v>-3</v>
      </c>
      <c r="CP21" s="7"/>
      <c r="CQ21" s="14">
        <v>4</v>
      </c>
      <c r="CR21" s="14"/>
      <c r="CS21" s="14">
        <v>3</v>
      </c>
      <c r="CT21" s="14">
        <v>4</v>
      </c>
      <c r="CU21" s="14">
        <v>4</v>
      </c>
      <c r="CV21" s="4">
        <v>3</v>
      </c>
      <c r="CW21" s="4">
        <v>3</v>
      </c>
      <c r="CX21" s="4">
        <v>5</v>
      </c>
      <c r="CY21" s="4">
        <v>5</v>
      </c>
      <c r="CZ21" s="4">
        <v>3</v>
      </c>
      <c r="DA21" s="4">
        <v>3</v>
      </c>
      <c r="DB21" s="7">
        <v>4</v>
      </c>
      <c r="DC21" s="7">
        <v>4</v>
      </c>
      <c r="DD21" s="7"/>
      <c r="DE21" s="7">
        <v>4</v>
      </c>
      <c r="DF21" s="7">
        <v>4</v>
      </c>
      <c r="DG21" s="7">
        <v>3</v>
      </c>
      <c r="DH21" s="7">
        <v>3</v>
      </c>
      <c r="DI21" s="14">
        <v>4</v>
      </c>
      <c r="DJ21" s="7">
        <v>4</v>
      </c>
      <c r="DK21" s="7">
        <v>4</v>
      </c>
      <c r="DL21" s="7"/>
      <c r="DM21" s="7"/>
      <c r="DN21" s="7">
        <v>3</v>
      </c>
      <c r="DO21" s="7">
        <v>4</v>
      </c>
      <c r="DP21" s="14">
        <v>4</v>
      </c>
      <c r="DQ21" s="7">
        <v>4</v>
      </c>
      <c r="DR21" s="7">
        <v>3</v>
      </c>
      <c r="DS21" s="7">
        <v>3</v>
      </c>
      <c r="DT21" s="12">
        <v>4</v>
      </c>
      <c r="DU21" s="4">
        <v>3</v>
      </c>
      <c r="DV21" s="4"/>
      <c r="DW21" s="4">
        <v>3</v>
      </c>
      <c r="DX21" s="14">
        <v>4</v>
      </c>
      <c r="DY21" s="4"/>
      <c r="DZ21" s="4">
        <v>4</v>
      </c>
      <c r="EA21" s="4">
        <v>4</v>
      </c>
    </row>
    <row r="22" spans="1:131" x14ac:dyDescent="0.3">
      <c r="A22" s="55" t="s">
        <v>399</v>
      </c>
      <c r="B22" s="7">
        <v>2</v>
      </c>
      <c r="C22" s="7">
        <v>3</v>
      </c>
      <c r="D22" s="7">
        <v>3</v>
      </c>
      <c r="E22" s="7">
        <v>4</v>
      </c>
      <c r="F22" s="7">
        <v>4</v>
      </c>
      <c r="G22" s="7">
        <v>3</v>
      </c>
      <c r="H22" s="7">
        <v>3</v>
      </c>
      <c r="I22" s="7">
        <v>4</v>
      </c>
      <c r="J22" s="7">
        <v>5</v>
      </c>
      <c r="K22" s="7">
        <v>4</v>
      </c>
      <c r="L22" s="7">
        <v>5</v>
      </c>
      <c r="M22" s="7">
        <v>5</v>
      </c>
      <c r="N22" s="7">
        <v>5</v>
      </c>
      <c r="O22" s="7">
        <v>5</v>
      </c>
      <c r="P22" s="7">
        <v>5</v>
      </c>
      <c r="Q22" s="7">
        <v>3</v>
      </c>
      <c r="R22" s="7">
        <v>5</v>
      </c>
      <c r="S22" s="7">
        <v>4</v>
      </c>
      <c r="T22" s="7">
        <v>4</v>
      </c>
      <c r="U22" s="7">
        <v>4</v>
      </c>
      <c r="V22" s="7">
        <v>5</v>
      </c>
      <c r="W22" s="7">
        <v>4</v>
      </c>
      <c r="X22" s="26">
        <v>3</v>
      </c>
      <c r="Y22" s="26">
        <v>4</v>
      </c>
      <c r="Z22" s="26">
        <v>1</v>
      </c>
      <c r="AA22" s="26">
        <v>4</v>
      </c>
      <c r="AB22" s="26">
        <v>3</v>
      </c>
      <c r="AC22" s="26">
        <v>3</v>
      </c>
      <c r="AD22" s="26">
        <v>4</v>
      </c>
      <c r="AE22" s="26">
        <v>3</v>
      </c>
      <c r="AF22" s="26">
        <v>4</v>
      </c>
      <c r="AG22" s="26">
        <v>4</v>
      </c>
      <c r="AH22" s="7">
        <v>5</v>
      </c>
      <c r="AI22" s="7">
        <v>5</v>
      </c>
      <c r="AJ22" s="7">
        <v>5</v>
      </c>
      <c r="AK22" s="7">
        <v>4</v>
      </c>
      <c r="AL22" s="7">
        <v>4</v>
      </c>
      <c r="AM22" s="7">
        <v>4</v>
      </c>
      <c r="AN22" s="7">
        <v>5</v>
      </c>
      <c r="AO22" s="7" t="s">
        <v>400</v>
      </c>
      <c r="AP22" s="7">
        <v>5</v>
      </c>
      <c r="AQ22" s="7">
        <v>5</v>
      </c>
      <c r="AR22" s="7">
        <v>5</v>
      </c>
      <c r="AS22" s="7">
        <v>5</v>
      </c>
      <c r="AT22" s="7">
        <v>5</v>
      </c>
      <c r="AU22" s="7">
        <v>3</v>
      </c>
      <c r="AV22" s="12">
        <v>2</v>
      </c>
      <c r="AW22" s="7">
        <v>4</v>
      </c>
      <c r="AX22" s="7">
        <v>4</v>
      </c>
      <c r="AY22" s="7">
        <v>2</v>
      </c>
      <c r="AZ22" s="7">
        <v>3</v>
      </c>
      <c r="BA22" s="7">
        <v>3</v>
      </c>
      <c r="BB22" s="12">
        <v>3</v>
      </c>
      <c r="BC22" s="26">
        <v>5</v>
      </c>
      <c r="BD22" s="26">
        <v>5</v>
      </c>
      <c r="BE22" s="26">
        <v>5</v>
      </c>
      <c r="BF22" s="26">
        <v>4</v>
      </c>
      <c r="BG22" s="26">
        <v>5</v>
      </c>
      <c r="BH22" s="26">
        <v>4</v>
      </c>
      <c r="BI22" s="26">
        <v>4</v>
      </c>
      <c r="BJ22" s="7">
        <v>4</v>
      </c>
      <c r="BK22" s="26">
        <v>2</v>
      </c>
      <c r="BL22" s="26">
        <v>2</v>
      </c>
      <c r="BM22" s="26">
        <v>4</v>
      </c>
      <c r="BN22" s="26">
        <v>2</v>
      </c>
      <c r="BO22" s="26">
        <v>2</v>
      </c>
      <c r="BP22" s="4">
        <v>4</v>
      </c>
      <c r="BQ22" s="4">
        <v>3</v>
      </c>
      <c r="BR22" s="4">
        <v>3</v>
      </c>
      <c r="BS22" s="4">
        <v>3</v>
      </c>
      <c r="BT22" s="4">
        <v>4</v>
      </c>
      <c r="BU22" s="4">
        <v>4</v>
      </c>
      <c r="BV22" s="4">
        <v>4</v>
      </c>
      <c r="BW22" s="4">
        <v>3</v>
      </c>
      <c r="BX22" s="4">
        <v>4</v>
      </c>
      <c r="BY22" s="4">
        <v>5</v>
      </c>
      <c r="BZ22" s="4">
        <v>2</v>
      </c>
      <c r="CA22" s="4">
        <v>4</v>
      </c>
      <c r="CB22" s="4">
        <v>3</v>
      </c>
      <c r="CC22" s="4">
        <v>3</v>
      </c>
      <c r="CD22" s="4">
        <v>3</v>
      </c>
      <c r="CE22" s="4">
        <v>4</v>
      </c>
      <c r="CF22" s="4">
        <v>3</v>
      </c>
      <c r="CG22" s="4">
        <v>3</v>
      </c>
      <c r="CH22" s="4">
        <v>4</v>
      </c>
      <c r="CI22" s="14">
        <v>2</v>
      </c>
      <c r="CJ22" s="14">
        <v>3</v>
      </c>
      <c r="CK22" s="14">
        <v>3</v>
      </c>
      <c r="CL22" s="14">
        <v>4</v>
      </c>
      <c r="CM22" s="14">
        <v>2</v>
      </c>
      <c r="CN22" s="14">
        <v>3</v>
      </c>
      <c r="CO22" s="14">
        <v>5</v>
      </c>
      <c r="CP22" s="7">
        <v>5</v>
      </c>
      <c r="CQ22" s="14">
        <v>5</v>
      </c>
      <c r="CR22" s="14">
        <v>5</v>
      </c>
      <c r="CS22" s="14">
        <v>4</v>
      </c>
      <c r="CT22" s="14">
        <v>4</v>
      </c>
      <c r="CU22" s="14">
        <v>4</v>
      </c>
      <c r="CV22" s="4">
        <v>4</v>
      </c>
      <c r="CW22" s="4">
        <v>4</v>
      </c>
      <c r="CX22" s="4">
        <v>3</v>
      </c>
      <c r="CY22" s="4">
        <v>4</v>
      </c>
      <c r="CZ22" s="4">
        <v>4</v>
      </c>
      <c r="DA22" s="4">
        <v>4</v>
      </c>
      <c r="DB22" s="7">
        <v>3</v>
      </c>
      <c r="DC22" s="7">
        <v>3</v>
      </c>
      <c r="DD22" s="7">
        <v>3</v>
      </c>
      <c r="DE22" s="7">
        <v>4</v>
      </c>
      <c r="DF22" s="7">
        <v>3</v>
      </c>
      <c r="DG22" s="7">
        <v>3</v>
      </c>
      <c r="DH22" s="7">
        <v>4</v>
      </c>
      <c r="DI22" s="14">
        <v>4</v>
      </c>
      <c r="DJ22" s="7">
        <v>4</v>
      </c>
      <c r="DK22" s="7">
        <v>5</v>
      </c>
      <c r="DL22" s="7">
        <v>5</v>
      </c>
      <c r="DM22" s="7">
        <v>2</v>
      </c>
      <c r="DN22" s="7">
        <v>3</v>
      </c>
      <c r="DO22" s="7">
        <v>4</v>
      </c>
      <c r="DP22" s="14">
        <v>3</v>
      </c>
      <c r="DQ22" s="7">
        <v>3</v>
      </c>
      <c r="DR22" s="7">
        <v>3</v>
      </c>
      <c r="DS22" s="7">
        <v>4</v>
      </c>
      <c r="DT22" s="12">
        <v>4</v>
      </c>
      <c r="DU22" s="4">
        <v>4</v>
      </c>
      <c r="DV22" s="4">
        <v>5</v>
      </c>
      <c r="DW22" s="4">
        <v>5</v>
      </c>
      <c r="DX22" s="14">
        <v>1</v>
      </c>
      <c r="DY22" s="4">
        <v>3</v>
      </c>
      <c r="DZ22" s="4">
        <v>2</v>
      </c>
      <c r="EA22" s="4">
        <v>5</v>
      </c>
    </row>
    <row r="23" spans="1:131" x14ac:dyDescent="0.3">
      <c r="A23" s="55" t="s">
        <v>401</v>
      </c>
      <c r="B23" s="7">
        <v>3</v>
      </c>
      <c r="C23" s="7">
        <v>3</v>
      </c>
      <c r="D23" s="7">
        <v>3</v>
      </c>
      <c r="E23" s="7">
        <v>4</v>
      </c>
      <c r="F23" s="7">
        <v>4</v>
      </c>
      <c r="G23" s="7">
        <v>3</v>
      </c>
      <c r="H23" s="7">
        <v>3</v>
      </c>
      <c r="I23" s="7">
        <v>1</v>
      </c>
      <c r="J23" s="7">
        <v>3</v>
      </c>
      <c r="K23" s="7"/>
      <c r="L23" s="7"/>
      <c r="M23" s="7">
        <v>2</v>
      </c>
      <c r="N23" s="7"/>
      <c r="O23" s="7"/>
      <c r="P23" s="7">
        <v>3</v>
      </c>
      <c r="Q23" s="7"/>
      <c r="R23" s="7">
        <v>1</v>
      </c>
      <c r="S23" s="7">
        <v>1</v>
      </c>
      <c r="T23" s="7">
        <v>1</v>
      </c>
      <c r="U23" s="7">
        <v>1</v>
      </c>
      <c r="V23" s="7">
        <v>3</v>
      </c>
      <c r="W23" s="7">
        <v>1</v>
      </c>
      <c r="X23" s="26">
        <v>3</v>
      </c>
      <c r="Y23" s="26">
        <v>2</v>
      </c>
      <c r="Z23" s="26">
        <v>4</v>
      </c>
      <c r="AA23" s="26">
        <v>1</v>
      </c>
      <c r="AB23" s="26">
        <v>3</v>
      </c>
      <c r="AC23" s="26">
        <v>1</v>
      </c>
      <c r="AD23" s="26">
        <v>3</v>
      </c>
      <c r="AE23" s="26">
        <v>3</v>
      </c>
      <c r="AF23" s="26">
        <v>4</v>
      </c>
      <c r="AG23" s="26">
        <v>4</v>
      </c>
      <c r="AH23" s="7">
        <v>2</v>
      </c>
      <c r="AI23" s="7">
        <v>3</v>
      </c>
      <c r="AJ23" s="7">
        <v>5</v>
      </c>
      <c r="AK23" s="7"/>
      <c r="AL23" s="7">
        <v>3</v>
      </c>
      <c r="AM23" s="7"/>
      <c r="AN23" s="7">
        <v>5</v>
      </c>
      <c r="AO23" s="7">
        <v>2</v>
      </c>
      <c r="AP23" s="7">
        <v>4</v>
      </c>
      <c r="AQ23" s="7">
        <v>4</v>
      </c>
      <c r="AR23" s="7">
        <v>2</v>
      </c>
      <c r="AS23" s="7">
        <v>3</v>
      </c>
      <c r="AT23" s="7">
        <v>1</v>
      </c>
      <c r="AU23" s="7">
        <v>3</v>
      </c>
      <c r="AV23" s="12">
        <v>4</v>
      </c>
      <c r="AW23" s="7">
        <v>4</v>
      </c>
      <c r="AX23" s="7">
        <v>3</v>
      </c>
      <c r="AY23" s="7">
        <v>2</v>
      </c>
      <c r="AZ23" s="7">
        <v>3</v>
      </c>
      <c r="BA23" s="7">
        <v>3</v>
      </c>
      <c r="BB23" s="12">
        <v>3</v>
      </c>
      <c r="BC23" s="26">
        <v>1</v>
      </c>
      <c r="BD23" s="26">
        <v>1</v>
      </c>
      <c r="BE23" s="26">
        <v>1</v>
      </c>
      <c r="BF23" s="26">
        <v>1</v>
      </c>
      <c r="BG23" s="26">
        <v>1</v>
      </c>
      <c r="BH23" s="26">
        <v>3</v>
      </c>
      <c r="BI23" s="26">
        <v>4</v>
      </c>
      <c r="BJ23" s="7">
        <v>1</v>
      </c>
      <c r="BK23" s="26">
        <v>2</v>
      </c>
      <c r="BL23" s="26">
        <v>3</v>
      </c>
      <c r="BM23" s="26">
        <v>3</v>
      </c>
      <c r="BN23" s="26">
        <v>2</v>
      </c>
      <c r="BO23" s="26">
        <v>2</v>
      </c>
      <c r="BP23" s="4">
        <v>3</v>
      </c>
      <c r="BQ23" s="4">
        <v>1</v>
      </c>
      <c r="BR23" s="4">
        <v>1</v>
      </c>
      <c r="BS23" s="4">
        <v>2</v>
      </c>
      <c r="BT23" s="4">
        <v>2</v>
      </c>
      <c r="BU23" s="4">
        <v>2</v>
      </c>
      <c r="BV23" s="4">
        <v>2</v>
      </c>
      <c r="BW23" s="4">
        <v>3</v>
      </c>
      <c r="BX23" s="4">
        <v>3</v>
      </c>
      <c r="BY23" s="4"/>
      <c r="BZ23" s="4">
        <v>2</v>
      </c>
      <c r="CA23" s="4">
        <v>2</v>
      </c>
      <c r="CB23" s="4">
        <v>1</v>
      </c>
      <c r="CC23" s="4">
        <v>1</v>
      </c>
      <c r="CD23" s="4"/>
      <c r="CE23" s="4">
        <v>3</v>
      </c>
      <c r="CF23" s="4">
        <v>3</v>
      </c>
      <c r="CG23" s="4">
        <v>3</v>
      </c>
      <c r="CH23" s="4">
        <v>1</v>
      </c>
      <c r="CI23" s="14">
        <v>2</v>
      </c>
      <c r="CJ23" s="14">
        <v>2</v>
      </c>
      <c r="CK23" s="14">
        <v>3</v>
      </c>
      <c r="CL23" s="14">
        <v>3</v>
      </c>
      <c r="CM23" s="14">
        <v>1</v>
      </c>
      <c r="CN23" s="14">
        <v>4</v>
      </c>
      <c r="CO23" s="14">
        <v>3</v>
      </c>
      <c r="CP23" s="7">
        <v>3</v>
      </c>
      <c r="CQ23" s="14">
        <v>5</v>
      </c>
      <c r="CR23" s="14">
        <v>2</v>
      </c>
      <c r="CS23" s="14">
        <v>3</v>
      </c>
      <c r="CT23" s="14">
        <v>3</v>
      </c>
      <c r="CU23" s="14">
        <v>3</v>
      </c>
      <c r="CV23" s="4">
        <v>3</v>
      </c>
      <c r="CW23" s="4">
        <v>3</v>
      </c>
      <c r="CX23" s="4">
        <v>3</v>
      </c>
      <c r="CY23" s="4">
        <v>4</v>
      </c>
      <c r="CZ23" s="4">
        <v>3</v>
      </c>
      <c r="DA23" s="4">
        <v>3</v>
      </c>
      <c r="DB23" s="7">
        <v>3</v>
      </c>
      <c r="DC23" s="7">
        <v>3</v>
      </c>
      <c r="DD23" s="7">
        <v>3</v>
      </c>
      <c r="DE23" s="7">
        <v>4</v>
      </c>
      <c r="DF23" s="7">
        <v>3</v>
      </c>
      <c r="DG23" s="7">
        <v>3</v>
      </c>
      <c r="DH23" s="7">
        <v>3</v>
      </c>
      <c r="DI23" s="14">
        <v>1</v>
      </c>
      <c r="DJ23" s="7">
        <v>3</v>
      </c>
      <c r="DK23" s="7">
        <v>3</v>
      </c>
      <c r="DL23" s="7">
        <v>3</v>
      </c>
      <c r="DM23" s="7">
        <v>3</v>
      </c>
      <c r="DN23" s="7">
        <v>4</v>
      </c>
      <c r="DO23" s="7">
        <v>3</v>
      </c>
      <c r="DP23" s="14">
        <v>3</v>
      </c>
      <c r="DQ23" s="7">
        <v>3</v>
      </c>
      <c r="DR23" s="7">
        <v>2</v>
      </c>
      <c r="DS23" s="7">
        <v>3</v>
      </c>
      <c r="DT23" s="12">
        <v>4</v>
      </c>
      <c r="DU23" s="4">
        <v>1</v>
      </c>
      <c r="DV23" s="4">
        <v>1</v>
      </c>
      <c r="DW23" s="4">
        <v>2</v>
      </c>
      <c r="DX23" s="14">
        <v>1</v>
      </c>
      <c r="DY23" s="4">
        <v>1</v>
      </c>
      <c r="DZ23" s="4">
        <v>3</v>
      </c>
      <c r="EA23" s="4">
        <v>3</v>
      </c>
    </row>
    <row r="24" spans="1:131" x14ac:dyDescent="0.3">
      <c r="A24" s="55" t="s">
        <v>402</v>
      </c>
      <c r="B24" s="7">
        <v>3</v>
      </c>
      <c r="C24" s="7">
        <v>4</v>
      </c>
      <c r="D24" s="7">
        <v>3</v>
      </c>
      <c r="E24" s="7">
        <v>3</v>
      </c>
      <c r="F24" s="7">
        <v>4</v>
      </c>
      <c r="G24" s="7">
        <v>3</v>
      </c>
      <c r="H24" s="7">
        <v>2</v>
      </c>
      <c r="I24" s="7">
        <v>3</v>
      </c>
      <c r="J24" s="7">
        <v>3</v>
      </c>
      <c r="K24" s="7">
        <v>4</v>
      </c>
      <c r="L24" s="7">
        <v>4</v>
      </c>
      <c r="M24" s="7">
        <v>3</v>
      </c>
      <c r="N24" s="7">
        <v>3</v>
      </c>
      <c r="O24" s="7">
        <v>3</v>
      </c>
      <c r="P24" s="7"/>
      <c r="Q24" s="7"/>
      <c r="R24" s="7">
        <v>4</v>
      </c>
      <c r="S24" s="7">
        <v>3</v>
      </c>
      <c r="T24" s="7">
        <v>2</v>
      </c>
      <c r="U24" s="7">
        <v>4</v>
      </c>
      <c r="V24" s="7">
        <v>2</v>
      </c>
      <c r="W24" s="7">
        <v>4</v>
      </c>
      <c r="X24" s="26">
        <v>3</v>
      </c>
      <c r="Y24" s="26">
        <v>3</v>
      </c>
      <c r="Z24" s="26">
        <v>1</v>
      </c>
      <c r="AA24" s="26">
        <v>5</v>
      </c>
      <c r="AB24" s="26">
        <v>3</v>
      </c>
      <c r="AC24" s="26">
        <v>2</v>
      </c>
      <c r="AD24" s="26">
        <v>4</v>
      </c>
      <c r="AE24" s="26">
        <v>3</v>
      </c>
      <c r="AF24" s="26">
        <v>3</v>
      </c>
      <c r="AG24" s="26">
        <v>2</v>
      </c>
      <c r="AH24" s="7">
        <v>2</v>
      </c>
      <c r="AI24" s="7">
        <v>3</v>
      </c>
      <c r="AJ24" s="7">
        <v>4</v>
      </c>
      <c r="AK24" s="7">
        <v>4</v>
      </c>
      <c r="AL24" s="7">
        <v>5</v>
      </c>
      <c r="AM24" s="7">
        <v>3</v>
      </c>
      <c r="AN24" s="7"/>
      <c r="AO24" s="7">
        <v>5</v>
      </c>
      <c r="AP24" s="7"/>
      <c r="AQ24" s="7">
        <v>5</v>
      </c>
      <c r="AR24" s="7">
        <v>5</v>
      </c>
      <c r="AS24" s="7">
        <v>5</v>
      </c>
      <c r="AT24" s="7">
        <v>3</v>
      </c>
      <c r="AU24" s="7">
        <v>3</v>
      </c>
      <c r="AV24" s="12">
        <v>3</v>
      </c>
      <c r="AW24" s="7">
        <v>4</v>
      </c>
      <c r="AX24" s="7">
        <v>4</v>
      </c>
      <c r="AY24" s="7">
        <v>4</v>
      </c>
      <c r="AZ24" s="7">
        <v>4</v>
      </c>
      <c r="BA24" s="7">
        <v>3</v>
      </c>
      <c r="BB24" s="12">
        <v>4</v>
      </c>
      <c r="BC24" s="26">
        <v>3</v>
      </c>
      <c r="BD24" s="26">
        <v>3</v>
      </c>
      <c r="BE24" s="26">
        <v>3</v>
      </c>
      <c r="BF24" s="26">
        <v>3</v>
      </c>
      <c r="BG24" s="26">
        <v>3</v>
      </c>
      <c r="BH24" s="26">
        <v>3</v>
      </c>
      <c r="BI24" s="26">
        <v>1</v>
      </c>
      <c r="BJ24" s="7">
        <v>5</v>
      </c>
      <c r="BK24" s="26">
        <v>3</v>
      </c>
      <c r="BL24" s="26">
        <v>3</v>
      </c>
      <c r="BM24" s="26">
        <v>4</v>
      </c>
      <c r="BN24" s="26">
        <v>4</v>
      </c>
      <c r="BO24" s="26">
        <v>2</v>
      </c>
      <c r="BP24" s="4">
        <v>3</v>
      </c>
      <c r="BQ24" s="4">
        <v>4</v>
      </c>
      <c r="BR24" s="4">
        <v>1</v>
      </c>
      <c r="BS24" s="4">
        <v>4</v>
      </c>
      <c r="BT24" s="4">
        <v>4</v>
      </c>
      <c r="BU24" s="4">
        <v>1</v>
      </c>
      <c r="BV24" s="4">
        <v>1</v>
      </c>
      <c r="BW24" s="4">
        <v>4</v>
      </c>
      <c r="BX24" s="4">
        <v>4</v>
      </c>
      <c r="BY24" s="4">
        <v>4</v>
      </c>
      <c r="BZ24" s="4">
        <v>3</v>
      </c>
      <c r="CA24" s="4">
        <v>4</v>
      </c>
      <c r="CB24" s="4">
        <v>3</v>
      </c>
      <c r="CC24" s="4">
        <v>4</v>
      </c>
      <c r="CD24" s="4">
        <v>3</v>
      </c>
      <c r="CE24" s="4">
        <v>4</v>
      </c>
      <c r="CF24" s="4">
        <v>4</v>
      </c>
      <c r="CG24" s="4">
        <v>3</v>
      </c>
      <c r="CH24" s="4">
        <v>4</v>
      </c>
      <c r="CI24" s="14">
        <v>3</v>
      </c>
      <c r="CJ24" s="14">
        <v>4</v>
      </c>
      <c r="CK24" s="14">
        <v>4</v>
      </c>
      <c r="CL24" s="14">
        <v>4</v>
      </c>
      <c r="CM24" s="14">
        <v>2</v>
      </c>
      <c r="CN24" s="14">
        <v>3</v>
      </c>
      <c r="CO24" s="14">
        <v>3</v>
      </c>
      <c r="CP24" s="7"/>
      <c r="CQ24" s="14"/>
      <c r="CR24" s="14"/>
      <c r="CS24" s="14">
        <v>4</v>
      </c>
      <c r="CT24" s="14">
        <v>5</v>
      </c>
      <c r="CU24" s="14">
        <v>3</v>
      </c>
      <c r="CV24" s="4">
        <v>4</v>
      </c>
      <c r="CW24" s="4">
        <v>4</v>
      </c>
      <c r="CX24" s="4">
        <v>5</v>
      </c>
      <c r="CY24" s="4">
        <v>1</v>
      </c>
      <c r="CZ24" s="4">
        <v>4</v>
      </c>
      <c r="DA24" s="4">
        <v>4</v>
      </c>
      <c r="DB24" s="7">
        <v>4</v>
      </c>
      <c r="DC24" s="7">
        <v>3</v>
      </c>
      <c r="DD24" s="7">
        <v>4</v>
      </c>
      <c r="DE24" s="7">
        <v>4</v>
      </c>
      <c r="DF24" s="7">
        <v>4</v>
      </c>
      <c r="DG24" s="7">
        <v>4</v>
      </c>
      <c r="DH24" s="7">
        <v>4</v>
      </c>
      <c r="DI24" s="14">
        <v>4</v>
      </c>
      <c r="DJ24" s="7">
        <v>2</v>
      </c>
      <c r="DK24" s="7"/>
      <c r="DL24" s="7"/>
      <c r="DM24" s="7">
        <v>4</v>
      </c>
      <c r="DN24" s="7"/>
      <c r="DO24" s="7">
        <v>3</v>
      </c>
      <c r="DP24" s="14">
        <v>4</v>
      </c>
      <c r="DQ24" s="7">
        <v>4</v>
      </c>
      <c r="DR24" s="7">
        <v>3</v>
      </c>
      <c r="DS24" s="7">
        <v>4</v>
      </c>
      <c r="DT24" s="12">
        <v>4</v>
      </c>
      <c r="DU24" s="4">
        <v>5</v>
      </c>
      <c r="DV24" s="4">
        <v>5</v>
      </c>
      <c r="DW24" s="4">
        <v>5</v>
      </c>
      <c r="DX24" s="14">
        <v>2</v>
      </c>
      <c r="DY24" s="4">
        <v>2</v>
      </c>
      <c r="DZ24" s="4">
        <v>3</v>
      </c>
      <c r="EA24" s="4">
        <v>5</v>
      </c>
    </row>
    <row r="25" spans="1:131" x14ac:dyDescent="0.3">
      <c r="A25" s="55" t="s">
        <v>403</v>
      </c>
      <c r="B25" s="7">
        <v>1</v>
      </c>
      <c r="C25" s="7">
        <v>1</v>
      </c>
      <c r="D25" s="7">
        <v>1</v>
      </c>
      <c r="E25" s="7">
        <v>5</v>
      </c>
      <c r="F25" s="7">
        <v>3</v>
      </c>
      <c r="G25" s="7">
        <v>1</v>
      </c>
      <c r="H25" s="7">
        <v>1</v>
      </c>
      <c r="I25" s="7">
        <v>2</v>
      </c>
      <c r="J25" s="7">
        <v>2</v>
      </c>
      <c r="K25" s="7">
        <v>4</v>
      </c>
      <c r="L25" s="7">
        <v>2</v>
      </c>
      <c r="M25" s="7">
        <v>3</v>
      </c>
      <c r="N25" s="7">
        <v>3</v>
      </c>
      <c r="O25" s="7">
        <v>2</v>
      </c>
      <c r="P25" s="7">
        <v>2</v>
      </c>
      <c r="Q25" s="7">
        <v>1</v>
      </c>
      <c r="R25" s="7">
        <v>2</v>
      </c>
      <c r="S25" s="7">
        <v>5</v>
      </c>
      <c r="T25" s="7">
        <v>2</v>
      </c>
      <c r="U25" s="7">
        <v>5</v>
      </c>
      <c r="V25" s="7">
        <v>2</v>
      </c>
      <c r="W25" s="7">
        <v>4</v>
      </c>
      <c r="X25" s="26">
        <v>3</v>
      </c>
      <c r="Y25" s="26">
        <v>3</v>
      </c>
      <c r="Z25" s="26">
        <v>1</v>
      </c>
      <c r="AA25" s="26">
        <v>1</v>
      </c>
      <c r="AB25" s="26">
        <v>4</v>
      </c>
      <c r="AC25" s="26">
        <v>2</v>
      </c>
      <c r="AD25" s="26">
        <v>1</v>
      </c>
      <c r="AE25" s="26">
        <v>4</v>
      </c>
      <c r="AF25" s="26">
        <v>1</v>
      </c>
      <c r="AG25" s="26">
        <v>1</v>
      </c>
      <c r="AH25" s="7">
        <v>2</v>
      </c>
      <c r="AI25" s="7">
        <v>1</v>
      </c>
      <c r="AJ25" s="7">
        <v>3</v>
      </c>
      <c r="AK25" s="7">
        <v>1</v>
      </c>
      <c r="AL25" s="7">
        <v>3</v>
      </c>
      <c r="AM25" s="7">
        <v>2</v>
      </c>
      <c r="AN25" s="7">
        <v>2</v>
      </c>
      <c r="AO25" s="7">
        <v>3</v>
      </c>
      <c r="AP25" s="7">
        <v>2</v>
      </c>
      <c r="AQ25" s="7">
        <v>4</v>
      </c>
      <c r="AR25" s="7">
        <v>4</v>
      </c>
      <c r="AS25" s="7">
        <v>4</v>
      </c>
      <c r="AT25" s="7">
        <v>4</v>
      </c>
      <c r="AU25" s="7">
        <v>3</v>
      </c>
      <c r="AV25" s="12">
        <v>1</v>
      </c>
      <c r="AW25" s="7">
        <v>1</v>
      </c>
      <c r="AX25" s="7">
        <v>3</v>
      </c>
      <c r="AY25" s="7">
        <v>1</v>
      </c>
      <c r="AZ25" s="7">
        <v>1</v>
      </c>
      <c r="BA25" s="7">
        <v>1</v>
      </c>
      <c r="BB25" s="12">
        <v>1</v>
      </c>
      <c r="BC25" s="26">
        <v>2</v>
      </c>
      <c r="BD25" s="26">
        <v>1</v>
      </c>
      <c r="BE25" s="26">
        <v>3</v>
      </c>
      <c r="BF25" s="26">
        <v>5</v>
      </c>
      <c r="BG25" s="26">
        <v>5</v>
      </c>
      <c r="BH25" s="26">
        <v>1</v>
      </c>
      <c r="BI25" s="26">
        <v>1</v>
      </c>
      <c r="BJ25" s="7">
        <v>3</v>
      </c>
      <c r="BK25" s="26">
        <v>2</v>
      </c>
      <c r="BL25" s="26">
        <v>1</v>
      </c>
      <c r="BM25" s="26">
        <v>1</v>
      </c>
      <c r="BN25" s="26">
        <v>2</v>
      </c>
      <c r="BO25" s="26">
        <v>2</v>
      </c>
      <c r="BP25" s="4">
        <v>5</v>
      </c>
      <c r="BQ25" s="4">
        <v>3</v>
      </c>
      <c r="BR25" s="4">
        <v>3</v>
      </c>
      <c r="BS25" s="4">
        <v>2</v>
      </c>
      <c r="BT25" s="4">
        <v>4</v>
      </c>
      <c r="BU25" s="4">
        <v>5</v>
      </c>
      <c r="BV25" s="4">
        <v>5</v>
      </c>
      <c r="BW25" s="4">
        <v>5</v>
      </c>
      <c r="BX25" s="4">
        <v>2</v>
      </c>
      <c r="BY25" s="4">
        <v>4</v>
      </c>
      <c r="BZ25" s="4">
        <v>4</v>
      </c>
      <c r="CA25" s="4">
        <v>3</v>
      </c>
      <c r="CB25" s="4">
        <v>5</v>
      </c>
      <c r="CC25" s="4">
        <v>4</v>
      </c>
      <c r="CD25" s="4">
        <v>4</v>
      </c>
      <c r="CE25" s="4">
        <v>4</v>
      </c>
      <c r="CF25" s="4">
        <v>3</v>
      </c>
      <c r="CG25" s="4">
        <v>4</v>
      </c>
      <c r="CH25" s="4">
        <v>4</v>
      </c>
      <c r="CI25" s="14">
        <v>4</v>
      </c>
      <c r="CJ25" s="14">
        <v>4</v>
      </c>
      <c r="CK25" s="14">
        <v>2</v>
      </c>
      <c r="CL25" s="14">
        <v>4</v>
      </c>
      <c r="CM25" s="14">
        <v>1</v>
      </c>
      <c r="CN25" s="14">
        <v>2</v>
      </c>
      <c r="CO25" s="14">
        <v>2</v>
      </c>
      <c r="CP25" s="7">
        <v>1</v>
      </c>
      <c r="CQ25" s="14">
        <v>1</v>
      </c>
      <c r="CR25" s="14">
        <v>3</v>
      </c>
      <c r="CS25" s="14">
        <v>3</v>
      </c>
      <c r="CT25" s="14">
        <v>3</v>
      </c>
      <c r="CU25" s="14">
        <v>4</v>
      </c>
      <c r="CV25" s="4">
        <v>1</v>
      </c>
      <c r="CW25" s="4">
        <v>1</v>
      </c>
      <c r="CX25" s="4">
        <v>5</v>
      </c>
      <c r="CY25" s="4">
        <v>3</v>
      </c>
      <c r="CZ25" s="4">
        <v>2</v>
      </c>
      <c r="DA25" s="4">
        <v>2</v>
      </c>
      <c r="DB25" s="7">
        <v>2</v>
      </c>
      <c r="DC25" s="7">
        <v>1</v>
      </c>
      <c r="DD25" s="7">
        <v>2</v>
      </c>
      <c r="DE25" s="7">
        <v>4</v>
      </c>
      <c r="DF25" s="7">
        <v>2</v>
      </c>
      <c r="DG25" s="7">
        <v>1</v>
      </c>
      <c r="DH25" s="7">
        <v>3</v>
      </c>
      <c r="DI25" s="14">
        <v>2</v>
      </c>
      <c r="DJ25" s="7">
        <v>1</v>
      </c>
      <c r="DK25" s="7">
        <v>1</v>
      </c>
      <c r="DL25" s="7">
        <v>1</v>
      </c>
      <c r="DM25" s="7">
        <v>4</v>
      </c>
      <c r="DN25" s="7">
        <v>1</v>
      </c>
      <c r="DO25" s="7">
        <v>3</v>
      </c>
      <c r="DP25" s="14">
        <v>1</v>
      </c>
      <c r="DQ25" s="7">
        <v>1</v>
      </c>
      <c r="DR25" s="7">
        <v>1</v>
      </c>
      <c r="DS25" s="7">
        <v>1</v>
      </c>
      <c r="DT25" s="12">
        <v>4</v>
      </c>
      <c r="DU25" s="4">
        <v>5</v>
      </c>
      <c r="DV25" s="4">
        <v>1</v>
      </c>
      <c r="DW25" s="4">
        <v>1</v>
      </c>
      <c r="DX25" s="14">
        <v>3</v>
      </c>
      <c r="DY25" s="4">
        <v>1</v>
      </c>
      <c r="DZ25" s="4">
        <v>3</v>
      </c>
      <c r="EA25" s="4">
        <v>3</v>
      </c>
    </row>
    <row r="26" spans="1:131" x14ac:dyDescent="0.3">
      <c r="A26" s="55" t="s">
        <v>404</v>
      </c>
      <c r="B26" s="7">
        <v>1</v>
      </c>
      <c r="C26" s="7">
        <v>2</v>
      </c>
      <c r="D26" s="7">
        <v>1</v>
      </c>
      <c r="E26" s="7">
        <v>4</v>
      </c>
      <c r="F26" s="7">
        <v>3</v>
      </c>
      <c r="G26" s="7">
        <v>1</v>
      </c>
      <c r="H26" s="7">
        <v>3</v>
      </c>
      <c r="I26" s="7">
        <v>1</v>
      </c>
      <c r="J26" s="7">
        <v>1</v>
      </c>
      <c r="K26" s="7">
        <v>2</v>
      </c>
      <c r="L26" s="7">
        <v>2</v>
      </c>
      <c r="M26" s="7">
        <v>3</v>
      </c>
      <c r="N26" s="7">
        <v>2</v>
      </c>
      <c r="O26" s="7">
        <v>2</v>
      </c>
      <c r="P26" s="7">
        <v>1</v>
      </c>
      <c r="Q26" s="7">
        <v>1</v>
      </c>
      <c r="R26" s="7">
        <v>4</v>
      </c>
      <c r="S26" s="7">
        <v>1</v>
      </c>
      <c r="T26" s="7">
        <v>1</v>
      </c>
      <c r="U26" s="7">
        <v>1</v>
      </c>
      <c r="V26" s="7">
        <v>1</v>
      </c>
      <c r="W26" s="7">
        <v>1</v>
      </c>
      <c r="X26" s="26">
        <v>2</v>
      </c>
      <c r="Y26" s="26">
        <v>1</v>
      </c>
      <c r="Z26" s="26">
        <v>1</v>
      </c>
      <c r="AA26" s="26">
        <v>1</v>
      </c>
      <c r="AB26" s="26">
        <v>4</v>
      </c>
      <c r="AC26" s="26">
        <v>1</v>
      </c>
      <c r="AD26" s="26">
        <v>1</v>
      </c>
      <c r="AE26" s="26">
        <v>4</v>
      </c>
      <c r="AF26" s="26">
        <v>2</v>
      </c>
      <c r="AG26" s="26">
        <v>1</v>
      </c>
      <c r="AH26" s="7">
        <v>2</v>
      </c>
      <c r="AI26" s="7">
        <v>1</v>
      </c>
      <c r="AJ26" s="7">
        <v>3</v>
      </c>
      <c r="AK26" s="7">
        <v>1</v>
      </c>
      <c r="AL26" s="7">
        <v>5</v>
      </c>
      <c r="AM26" s="7">
        <v>1</v>
      </c>
      <c r="AN26" s="7">
        <v>2</v>
      </c>
      <c r="AO26" s="7">
        <v>2</v>
      </c>
      <c r="AP26" s="7">
        <v>2</v>
      </c>
      <c r="AQ26" s="7">
        <v>2</v>
      </c>
      <c r="AR26" s="7">
        <v>3</v>
      </c>
      <c r="AS26" s="7">
        <v>5</v>
      </c>
      <c r="AT26" s="7">
        <v>1</v>
      </c>
      <c r="AU26" s="7">
        <v>1</v>
      </c>
      <c r="AV26" s="12">
        <v>3</v>
      </c>
      <c r="AW26" s="7">
        <v>2</v>
      </c>
      <c r="AX26" s="7">
        <v>4</v>
      </c>
      <c r="AY26" s="7">
        <v>2</v>
      </c>
      <c r="AZ26" s="7">
        <v>2</v>
      </c>
      <c r="BA26" s="7">
        <v>2</v>
      </c>
      <c r="BB26" s="12">
        <v>2</v>
      </c>
      <c r="BC26" s="26">
        <v>1</v>
      </c>
      <c r="BD26" s="26">
        <v>1</v>
      </c>
      <c r="BE26" s="26">
        <v>4</v>
      </c>
      <c r="BF26" s="26">
        <v>1</v>
      </c>
      <c r="BG26" s="26">
        <v>1</v>
      </c>
      <c r="BH26" s="26">
        <v>1</v>
      </c>
      <c r="BI26" s="26">
        <v>1</v>
      </c>
      <c r="BJ26" s="7">
        <v>4</v>
      </c>
      <c r="BK26" s="26">
        <v>2</v>
      </c>
      <c r="BL26" s="26">
        <v>2</v>
      </c>
      <c r="BM26" s="26">
        <v>3</v>
      </c>
      <c r="BN26" s="26">
        <v>4</v>
      </c>
      <c r="BO26" s="26">
        <v>3</v>
      </c>
      <c r="BP26" s="4">
        <v>5</v>
      </c>
      <c r="BQ26" s="4">
        <v>2</v>
      </c>
      <c r="BR26" s="4">
        <v>3</v>
      </c>
      <c r="BS26" s="4">
        <v>2</v>
      </c>
      <c r="BT26" s="4">
        <v>4</v>
      </c>
      <c r="BU26" s="4">
        <v>3</v>
      </c>
      <c r="BV26" s="4">
        <v>3</v>
      </c>
      <c r="BW26" s="4">
        <v>5</v>
      </c>
      <c r="BX26" s="4">
        <v>2</v>
      </c>
      <c r="BY26" s="4">
        <v>5</v>
      </c>
      <c r="BZ26" s="4">
        <v>2</v>
      </c>
      <c r="CA26" s="4">
        <v>5</v>
      </c>
      <c r="CB26" s="4">
        <v>5</v>
      </c>
      <c r="CC26" s="4">
        <v>3</v>
      </c>
      <c r="CD26" s="4">
        <v>3</v>
      </c>
      <c r="CE26" s="4">
        <v>3</v>
      </c>
      <c r="CF26" s="4">
        <v>4</v>
      </c>
      <c r="CG26" s="4">
        <v>3</v>
      </c>
      <c r="CH26" s="4">
        <v>3</v>
      </c>
      <c r="CI26" s="14">
        <v>2</v>
      </c>
      <c r="CJ26" s="14">
        <v>1</v>
      </c>
      <c r="CK26" s="14">
        <v>4</v>
      </c>
      <c r="CL26" s="14">
        <v>4</v>
      </c>
      <c r="CM26" s="14">
        <v>1</v>
      </c>
      <c r="CN26" s="14">
        <v>1</v>
      </c>
      <c r="CO26" s="14">
        <v>2</v>
      </c>
      <c r="CP26" s="7">
        <v>1</v>
      </c>
      <c r="CQ26" s="14">
        <v>1</v>
      </c>
      <c r="CR26" s="14">
        <v>1</v>
      </c>
      <c r="CS26" s="14">
        <v>1</v>
      </c>
      <c r="CT26" s="14">
        <v>3</v>
      </c>
      <c r="CU26" s="14">
        <v>4</v>
      </c>
      <c r="CV26" s="4">
        <v>3</v>
      </c>
      <c r="CW26" s="4">
        <v>3</v>
      </c>
      <c r="CX26" s="4">
        <v>5</v>
      </c>
      <c r="CY26" s="4">
        <v>3</v>
      </c>
      <c r="CZ26" s="4">
        <v>4</v>
      </c>
      <c r="DA26" s="4">
        <v>4</v>
      </c>
      <c r="DB26" s="7">
        <v>1</v>
      </c>
      <c r="DC26" s="7">
        <v>1</v>
      </c>
      <c r="DD26" s="7">
        <v>1</v>
      </c>
      <c r="DE26" s="7">
        <v>4</v>
      </c>
      <c r="DF26" s="7">
        <v>1</v>
      </c>
      <c r="DG26" s="7">
        <v>1</v>
      </c>
      <c r="DH26" s="7">
        <v>1</v>
      </c>
      <c r="DI26" s="14">
        <v>1</v>
      </c>
      <c r="DJ26" s="7">
        <v>2</v>
      </c>
      <c r="DK26" s="7">
        <v>3</v>
      </c>
      <c r="DL26" s="7">
        <v>3</v>
      </c>
      <c r="DM26" s="7">
        <v>3</v>
      </c>
      <c r="DN26" s="7">
        <v>1</v>
      </c>
      <c r="DO26" s="7">
        <v>1</v>
      </c>
      <c r="DP26" s="14">
        <v>2</v>
      </c>
      <c r="DQ26" s="7">
        <v>3</v>
      </c>
      <c r="DR26" s="7">
        <v>2</v>
      </c>
      <c r="DS26" s="7">
        <v>3</v>
      </c>
      <c r="DT26" s="12">
        <v>3</v>
      </c>
      <c r="DU26" s="4">
        <v>4</v>
      </c>
      <c r="DV26" s="4">
        <v>2</v>
      </c>
      <c r="DW26" s="4">
        <v>2</v>
      </c>
      <c r="DX26" s="14">
        <v>3</v>
      </c>
      <c r="DY26" s="4">
        <v>1</v>
      </c>
      <c r="DZ26" s="4">
        <v>2</v>
      </c>
      <c r="EA26" s="4">
        <v>5</v>
      </c>
    </row>
    <row r="27" spans="1:131" x14ac:dyDescent="0.3">
      <c r="A27" s="55" t="s">
        <v>405</v>
      </c>
      <c r="B27" s="7">
        <v>3</v>
      </c>
      <c r="C27" s="7"/>
      <c r="D27" s="7"/>
      <c r="E27" s="7">
        <v>4</v>
      </c>
      <c r="F27" s="7">
        <v>4</v>
      </c>
      <c r="G27" s="7"/>
      <c r="H27" s="7">
        <v>3</v>
      </c>
      <c r="I27" s="7"/>
      <c r="J27" s="7">
        <v>3</v>
      </c>
      <c r="K27" s="7"/>
      <c r="L27" s="7"/>
      <c r="M27" s="7"/>
      <c r="N27" s="7">
        <v>3</v>
      </c>
      <c r="O27" s="7"/>
      <c r="P27" s="7">
        <v>3</v>
      </c>
      <c r="Q27" s="7"/>
      <c r="R27" s="7">
        <v>5</v>
      </c>
      <c r="S27" s="7">
        <v>5</v>
      </c>
      <c r="T27" s="7">
        <v>1</v>
      </c>
      <c r="U27" s="7">
        <v>5</v>
      </c>
      <c r="V27" s="7">
        <v>5</v>
      </c>
      <c r="W27" s="7">
        <v>4</v>
      </c>
      <c r="X27" s="26">
        <v>3</v>
      </c>
      <c r="Y27" s="26">
        <v>4</v>
      </c>
      <c r="Z27" s="26">
        <v>1</v>
      </c>
      <c r="AA27" s="26">
        <v>1</v>
      </c>
      <c r="AB27" s="26">
        <v>3</v>
      </c>
      <c r="AC27" s="26">
        <v>1</v>
      </c>
      <c r="AD27" s="26">
        <v>3</v>
      </c>
      <c r="AE27" s="26">
        <v>4</v>
      </c>
      <c r="AF27" s="26">
        <v>3</v>
      </c>
      <c r="AG27" s="26">
        <v>2</v>
      </c>
      <c r="AH27" s="7"/>
      <c r="AI27" s="7">
        <v>1</v>
      </c>
      <c r="AJ27" s="7">
        <v>3</v>
      </c>
      <c r="AK27" s="7"/>
      <c r="AL27" s="7">
        <v>3</v>
      </c>
      <c r="AM27" s="7"/>
      <c r="AN27" s="7">
        <v>3</v>
      </c>
      <c r="AO27" s="7"/>
      <c r="AP27" s="7">
        <v>4</v>
      </c>
      <c r="AQ27" s="7"/>
      <c r="AR27" s="7">
        <v>3</v>
      </c>
      <c r="AS27" s="7"/>
      <c r="AT27" s="7"/>
      <c r="AU27" s="7"/>
      <c r="AV27" s="12">
        <v>4</v>
      </c>
      <c r="AW27" s="7">
        <v>5</v>
      </c>
      <c r="AX27" s="7">
        <v>5</v>
      </c>
      <c r="AY27" s="7">
        <v>2</v>
      </c>
      <c r="AZ27" s="7">
        <v>4</v>
      </c>
      <c r="BA27" s="7">
        <v>2</v>
      </c>
      <c r="BB27" s="12">
        <v>3</v>
      </c>
      <c r="BC27" s="26">
        <v>5</v>
      </c>
      <c r="BD27" s="26">
        <v>5</v>
      </c>
      <c r="BE27" s="26">
        <v>3</v>
      </c>
      <c r="BF27" s="26">
        <v>1</v>
      </c>
      <c r="BG27" s="26">
        <v>5</v>
      </c>
      <c r="BH27" s="26">
        <v>2</v>
      </c>
      <c r="BI27" s="26">
        <v>5</v>
      </c>
      <c r="BJ27" s="7">
        <v>5</v>
      </c>
      <c r="BK27" s="26">
        <v>4</v>
      </c>
      <c r="BL27" s="26">
        <v>4</v>
      </c>
      <c r="BM27" s="26">
        <v>4</v>
      </c>
      <c r="BN27" s="26">
        <v>3</v>
      </c>
      <c r="BO27" s="26">
        <v>2</v>
      </c>
      <c r="BP27" s="4">
        <v>5</v>
      </c>
      <c r="BQ27" s="4">
        <v>5</v>
      </c>
      <c r="BR27" s="4">
        <v>1</v>
      </c>
      <c r="BS27" s="4">
        <v>5</v>
      </c>
      <c r="BT27" s="4">
        <v>5</v>
      </c>
      <c r="BU27" s="4">
        <v>5</v>
      </c>
      <c r="BV27" s="4">
        <v>5</v>
      </c>
      <c r="BW27" s="4">
        <v>5</v>
      </c>
      <c r="BX27" s="4">
        <v>1</v>
      </c>
      <c r="BY27" s="4">
        <v>5</v>
      </c>
      <c r="BZ27" s="4">
        <v>4</v>
      </c>
      <c r="CA27" s="4">
        <v>3</v>
      </c>
      <c r="CB27" s="4">
        <v>5</v>
      </c>
      <c r="CC27" s="4">
        <v>4</v>
      </c>
      <c r="CD27" s="4">
        <v>5</v>
      </c>
      <c r="CE27" s="4">
        <v>5</v>
      </c>
      <c r="CF27" s="4">
        <v>5</v>
      </c>
      <c r="CG27" s="4">
        <v>5</v>
      </c>
      <c r="CH27" s="4">
        <v>5</v>
      </c>
      <c r="CI27" s="14">
        <v>4</v>
      </c>
      <c r="CJ27" s="14">
        <v>5</v>
      </c>
      <c r="CK27" s="14">
        <v>5</v>
      </c>
      <c r="CL27" s="14">
        <v>5</v>
      </c>
      <c r="CM27" s="14">
        <v>1</v>
      </c>
      <c r="CN27" s="14">
        <v>-3</v>
      </c>
      <c r="CO27" s="14">
        <v>-3</v>
      </c>
      <c r="CP27" s="7">
        <v>2</v>
      </c>
      <c r="CQ27" s="14">
        <v>3</v>
      </c>
      <c r="CR27" s="14"/>
      <c r="CS27" s="14">
        <v>5</v>
      </c>
      <c r="CT27" s="14">
        <v>5</v>
      </c>
      <c r="CU27" s="14">
        <v>4</v>
      </c>
      <c r="CV27" s="4">
        <v>5</v>
      </c>
      <c r="CW27" s="4">
        <v>5</v>
      </c>
      <c r="CX27" s="4">
        <v>4</v>
      </c>
      <c r="CY27" s="4">
        <v>4</v>
      </c>
      <c r="CZ27" s="4">
        <v>3</v>
      </c>
      <c r="DA27" s="4">
        <v>3</v>
      </c>
      <c r="DB27" s="7"/>
      <c r="DC27" s="7"/>
      <c r="DD27" s="7"/>
      <c r="DE27" s="7">
        <v>3</v>
      </c>
      <c r="DF27" s="7">
        <v>4</v>
      </c>
      <c r="DG27" s="7"/>
      <c r="DH27" s="7">
        <v>5</v>
      </c>
      <c r="DI27" s="14">
        <v>3</v>
      </c>
      <c r="DJ27" s="7">
        <v>5</v>
      </c>
      <c r="DK27" s="7">
        <v>5</v>
      </c>
      <c r="DL27" s="7">
        <v>1</v>
      </c>
      <c r="DM27" s="7">
        <v>5</v>
      </c>
      <c r="DN27" s="7">
        <v>1</v>
      </c>
      <c r="DO27" s="7">
        <v>4</v>
      </c>
      <c r="DP27" s="14">
        <v>3</v>
      </c>
      <c r="DQ27" s="7">
        <v>2</v>
      </c>
      <c r="DR27" s="7">
        <v>3</v>
      </c>
      <c r="DS27" s="7">
        <v>3</v>
      </c>
      <c r="DT27" s="12">
        <v>4</v>
      </c>
      <c r="DU27" s="4">
        <v>5</v>
      </c>
      <c r="DV27" s="4">
        <v>5</v>
      </c>
      <c r="DW27" s="4">
        <v>4</v>
      </c>
      <c r="DX27" s="14">
        <v>4</v>
      </c>
      <c r="DY27" s="4">
        <v>5</v>
      </c>
      <c r="DZ27" s="4">
        <v>2</v>
      </c>
      <c r="EA27" s="4">
        <v>4</v>
      </c>
    </row>
    <row r="28" spans="1:131" x14ac:dyDescent="0.3">
      <c r="A28" s="55" t="s">
        <v>406</v>
      </c>
      <c r="B28" s="7">
        <v>4</v>
      </c>
      <c r="C28" s="7">
        <v>4</v>
      </c>
      <c r="D28" s="7">
        <v>4</v>
      </c>
      <c r="E28" s="7">
        <v>4</v>
      </c>
      <c r="F28" s="7">
        <v>4</v>
      </c>
      <c r="G28" s="7">
        <v>4</v>
      </c>
      <c r="H28" s="7">
        <v>4</v>
      </c>
      <c r="I28" s="7">
        <v>5</v>
      </c>
      <c r="J28" s="7">
        <v>5</v>
      </c>
      <c r="K28" s="7">
        <v>5</v>
      </c>
      <c r="L28" s="7">
        <v>5</v>
      </c>
      <c r="M28" s="7">
        <v>5</v>
      </c>
      <c r="N28" s="7">
        <v>5</v>
      </c>
      <c r="O28" s="7">
        <v>5</v>
      </c>
      <c r="P28" s="7">
        <v>4</v>
      </c>
      <c r="Q28" s="7">
        <v>5</v>
      </c>
      <c r="R28" s="7">
        <v>5</v>
      </c>
      <c r="S28" s="7">
        <v>5</v>
      </c>
      <c r="T28" s="7">
        <v>5</v>
      </c>
      <c r="U28" s="7">
        <v>5</v>
      </c>
      <c r="V28" s="7"/>
      <c r="W28" s="7">
        <v>5</v>
      </c>
      <c r="X28" s="26">
        <v>4</v>
      </c>
      <c r="Y28" s="26">
        <v>4</v>
      </c>
      <c r="Z28" s="26">
        <v>5</v>
      </c>
      <c r="AA28" s="26">
        <v>5</v>
      </c>
      <c r="AB28" s="26">
        <v>3</v>
      </c>
      <c r="AC28" s="26">
        <v>4</v>
      </c>
      <c r="AD28" s="26">
        <v>4</v>
      </c>
      <c r="AE28" s="26">
        <v>4</v>
      </c>
      <c r="AF28" s="26">
        <v>4</v>
      </c>
      <c r="AG28" s="26">
        <v>4</v>
      </c>
      <c r="AH28" s="7">
        <v>5</v>
      </c>
      <c r="AI28" s="7"/>
      <c r="AJ28" s="7">
        <v>4</v>
      </c>
      <c r="AK28" s="7">
        <v>5</v>
      </c>
      <c r="AL28" s="7">
        <v>5</v>
      </c>
      <c r="AM28" s="7">
        <v>5</v>
      </c>
      <c r="AN28" s="7">
        <v>5</v>
      </c>
      <c r="AO28" s="7">
        <v>5</v>
      </c>
      <c r="AP28" s="7">
        <v>5</v>
      </c>
      <c r="AQ28" s="7">
        <v>5</v>
      </c>
      <c r="AR28" s="7">
        <v>4</v>
      </c>
      <c r="AS28" s="7">
        <v>5</v>
      </c>
      <c r="AT28" s="7">
        <v>5</v>
      </c>
      <c r="AU28" s="7"/>
      <c r="AV28" s="12">
        <v>3</v>
      </c>
      <c r="AW28" s="7">
        <v>5</v>
      </c>
      <c r="AX28" s="7">
        <v>5</v>
      </c>
      <c r="AY28" s="7">
        <v>4</v>
      </c>
      <c r="AZ28" s="7">
        <v>4</v>
      </c>
      <c r="BA28" s="7">
        <v>3</v>
      </c>
      <c r="BB28" s="12">
        <v>4</v>
      </c>
      <c r="BC28" s="26">
        <v>4</v>
      </c>
      <c r="BD28" s="26">
        <v>3</v>
      </c>
      <c r="BE28" s="26">
        <v>5</v>
      </c>
      <c r="BF28" s="26">
        <v>5</v>
      </c>
      <c r="BG28" s="26">
        <v>5</v>
      </c>
      <c r="BH28" s="26">
        <v>5</v>
      </c>
      <c r="BI28" s="26">
        <v>4</v>
      </c>
      <c r="BJ28" s="7">
        <v>5</v>
      </c>
      <c r="BK28" s="26">
        <v>4</v>
      </c>
      <c r="BL28" s="26">
        <v>4</v>
      </c>
      <c r="BM28" s="26">
        <v>1</v>
      </c>
      <c r="BN28" s="26">
        <v>4</v>
      </c>
      <c r="BO28" s="26">
        <v>4</v>
      </c>
      <c r="BP28" s="4">
        <v>5</v>
      </c>
      <c r="BQ28" s="4">
        <v>5</v>
      </c>
      <c r="BR28" s="4">
        <v>5</v>
      </c>
      <c r="BS28" s="4">
        <v>4</v>
      </c>
      <c r="BT28" s="4">
        <v>5</v>
      </c>
      <c r="BU28" s="4">
        <v>5</v>
      </c>
      <c r="BV28" s="4">
        <v>5</v>
      </c>
      <c r="BW28" s="4">
        <v>5</v>
      </c>
      <c r="BX28" s="4">
        <v>5</v>
      </c>
      <c r="BY28" s="4">
        <v>5</v>
      </c>
      <c r="BZ28" s="4">
        <v>5</v>
      </c>
      <c r="CA28" s="4">
        <v>5</v>
      </c>
      <c r="CB28" s="4">
        <v>5</v>
      </c>
      <c r="CC28" s="4">
        <v>4</v>
      </c>
      <c r="CD28" s="4">
        <v>4</v>
      </c>
      <c r="CE28" s="4">
        <v>4</v>
      </c>
      <c r="CF28" s="4">
        <v>4</v>
      </c>
      <c r="CG28" s="4">
        <v>5</v>
      </c>
      <c r="CH28" s="4">
        <v>5</v>
      </c>
      <c r="CI28" s="14">
        <v>5</v>
      </c>
      <c r="CJ28" s="14">
        <v>5</v>
      </c>
      <c r="CK28" s="14">
        <v>4</v>
      </c>
      <c r="CL28" s="14">
        <v>5</v>
      </c>
      <c r="CM28" s="14">
        <v>5</v>
      </c>
      <c r="CN28" s="14">
        <v>5</v>
      </c>
      <c r="CO28" s="14">
        <v>5</v>
      </c>
      <c r="CP28" s="7">
        <v>5</v>
      </c>
      <c r="CQ28" s="14">
        <v>5</v>
      </c>
      <c r="CR28" s="14">
        <v>5</v>
      </c>
      <c r="CS28" s="14">
        <v>5</v>
      </c>
      <c r="CT28" s="14">
        <v>5</v>
      </c>
      <c r="CU28" s="14">
        <v>5</v>
      </c>
      <c r="CV28" s="4">
        <v>4</v>
      </c>
      <c r="CW28" s="4">
        <v>4</v>
      </c>
      <c r="CX28" s="4">
        <v>4</v>
      </c>
      <c r="CY28" s="4">
        <v>5</v>
      </c>
      <c r="CZ28" s="4">
        <v>5</v>
      </c>
      <c r="DA28" s="4">
        <v>5</v>
      </c>
      <c r="DB28" s="7">
        <v>4</v>
      </c>
      <c r="DC28" s="7">
        <v>4</v>
      </c>
      <c r="DD28" s="7">
        <v>4</v>
      </c>
      <c r="DE28" s="7">
        <v>4</v>
      </c>
      <c r="DF28" s="7">
        <v>5</v>
      </c>
      <c r="DG28" s="7">
        <v>5</v>
      </c>
      <c r="DH28" s="7">
        <v>5</v>
      </c>
      <c r="DI28" s="14">
        <v>5</v>
      </c>
      <c r="DJ28" s="7">
        <v>1</v>
      </c>
      <c r="DK28" s="7">
        <v>1</v>
      </c>
      <c r="DL28" s="7">
        <v>4</v>
      </c>
      <c r="DM28" s="7">
        <v>5</v>
      </c>
      <c r="DN28" s="7"/>
      <c r="DO28" s="7"/>
      <c r="DP28" s="14">
        <v>4</v>
      </c>
      <c r="DQ28" s="7">
        <v>4</v>
      </c>
      <c r="DR28" s="7">
        <v>4</v>
      </c>
      <c r="DS28" s="7">
        <v>4</v>
      </c>
      <c r="DT28" s="12">
        <v>3</v>
      </c>
      <c r="DU28" s="4">
        <v>5</v>
      </c>
      <c r="DV28" s="4">
        <v>4</v>
      </c>
      <c r="DW28" s="4">
        <v>4</v>
      </c>
      <c r="DX28" s="14">
        <v>5</v>
      </c>
      <c r="DY28" s="4">
        <v>4</v>
      </c>
      <c r="DZ28" s="4">
        <v>4</v>
      </c>
      <c r="EA28" s="4">
        <v>4</v>
      </c>
    </row>
    <row r="29" spans="1:131" ht="28.8" x14ac:dyDescent="0.3">
      <c r="A29" s="55" t="s">
        <v>407</v>
      </c>
      <c r="B29" s="7">
        <v>3</v>
      </c>
      <c r="C29" s="7">
        <v>3</v>
      </c>
      <c r="D29" s="7">
        <v>3</v>
      </c>
      <c r="E29" s="7">
        <v>4</v>
      </c>
      <c r="F29" s="7">
        <v>4</v>
      </c>
      <c r="G29" s="7">
        <v>3</v>
      </c>
      <c r="H29" s="7">
        <v>4</v>
      </c>
      <c r="I29" s="7"/>
      <c r="J29" s="7">
        <v>2</v>
      </c>
      <c r="K29" s="7"/>
      <c r="L29" s="7"/>
      <c r="M29" s="7"/>
      <c r="N29" s="7">
        <v>3</v>
      </c>
      <c r="O29" s="7"/>
      <c r="P29" s="7">
        <v>3</v>
      </c>
      <c r="Q29" s="7"/>
      <c r="R29" s="7">
        <v>1</v>
      </c>
      <c r="S29" s="7">
        <v>2</v>
      </c>
      <c r="T29" s="7">
        <v>2</v>
      </c>
      <c r="U29" s="7">
        <v>2</v>
      </c>
      <c r="V29" s="7">
        <v>4</v>
      </c>
      <c r="W29" s="7">
        <v>2</v>
      </c>
      <c r="X29" s="26">
        <v>2</v>
      </c>
      <c r="Y29" s="26">
        <v>5</v>
      </c>
      <c r="Z29" s="26">
        <v>5</v>
      </c>
      <c r="AA29" s="26">
        <v>5</v>
      </c>
      <c r="AB29" s="26">
        <v>4</v>
      </c>
      <c r="AC29" s="26">
        <v>5</v>
      </c>
      <c r="AD29" s="26">
        <v>5</v>
      </c>
      <c r="AE29" s="26">
        <v>2</v>
      </c>
      <c r="AF29" s="26">
        <v>2</v>
      </c>
      <c r="AG29" s="26">
        <v>1</v>
      </c>
      <c r="AH29" s="7"/>
      <c r="AI29" s="7">
        <v>2</v>
      </c>
      <c r="AJ29" s="7">
        <v>2</v>
      </c>
      <c r="AK29" s="7"/>
      <c r="AL29" s="7">
        <v>2</v>
      </c>
      <c r="AM29" s="7"/>
      <c r="AN29" s="7">
        <v>3</v>
      </c>
      <c r="AO29" s="7"/>
      <c r="AP29" s="7">
        <v>3</v>
      </c>
      <c r="AQ29" s="7"/>
      <c r="AR29" s="7">
        <v>2</v>
      </c>
      <c r="AS29" s="7"/>
      <c r="AT29" s="7"/>
      <c r="AU29" s="7"/>
      <c r="AV29" s="12">
        <v>2</v>
      </c>
      <c r="AW29" s="7">
        <v>3</v>
      </c>
      <c r="AX29" s="7">
        <v>4</v>
      </c>
      <c r="AY29" s="7">
        <v>2</v>
      </c>
      <c r="AZ29" s="7">
        <v>4</v>
      </c>
      <c r="BA29" s="7">
        <v>3</v>
      </c>
      <c r="BB29" s="12">
        <v>3</v>
      </c>
      <c r="BC29" s="26">
        <v>1</v>
      </c>
      <c r="BD29" s="26">
        <v>1</v>
      </c>
      <c r="BE29" s="26">
        <v>2</v>
      </c>
      <c r="BF29" s="26">
        <v>2</v>
      </c>
      <c r="BG29" s="26">
        <v>2</v>
      </c>
      <c r="BH29" s="26">
        <v>1</v>
      </c>
      <c r="BI29" s="26">
        <v>2</v>
      </c>
      <c r="BJ29" s="7">
        <v>2</v>
      </c>
      <c r="BK29" s="26">
        <v>2</v>
      </c>
      <c r="BL29" s="26">
        <v>2</v>
      </c>
      <c r="BM29" s="26">
        <v>3</v>
      </c>
      <c r="BN29" s="26">
        <v>3</v>
      </c>
      <c r="BO29" s="26">
        <v>4</v>
      </c>
      <c r="BP29" s="4">
        <v>1</v>
      </c>
      <c r="BQ29" s="4">
        <v>1</v>
      </c>
      <c r="BR29" s="4">
        <v>2</v>
      </c>
      <c r="BS29" s="4">
        <v>4</v>
      </c>
      <c r="BT29" s="4">
        <v>2</v>
      </c>
      <c r="BU29" s="4">
        <v>4</v>
      </c>
      <c r="BV29" s="4">
        <v>4</v>
      </c>
      <c r="BW29" s="4">
        <v>2</v>
      </c>
      <c r="BX29" s="4">
        <v>4</v>
      </c>
      <c r="BY29" s="4"/>
      <c r="BZ29" s="4"/>
      <c r="CA29" s="4">
        <v>2</v>
      </c>
      <c r="CB29" s="4">
        <v>1</v>
      </c>
      <c r="CC29" s="4">
        <v>3</v>
      </c>
      <c r="CD29" s="4">
        <v>2</v>
      </c>
      <c r="CE29" s="4">
        <v>3</v>
      </c>
      <c r="CF29" s="4">
        <v>3</v>
      </c>
      <c r="CG29" s="4">
        <v>3</v>
      </c>
      <c r="CH29" s="4">
        <v>3</v>
      </c>
      <c r="CI29" s="14"/>
      <c r="CJ29" s="14">
        <v>4</v>
      </c>
      <c r="CK29" s="14">
        <v>4</v>
      </c>
      <c r="CL29" s="14">
        <v>3</v>
      </c>
      <c r="CM29" s="14">
        <v>2</v>
      </c>
      <c r="CN29" s="14">
        <v>-3</v>
      </c>
      <c r="CO29" s="14">
        <v>-3</v>
      </c>
      <c r="CP29" s="7">
        <v>3</v>
      </c>
      <c r="CQ29" s="14">
        <v>3</v>
      </c>
      <c r="CR29" s="14"/>
      <c r="CS29" s="14">
        <v>4</v>
      </c>
      <c r="CT29" s="14">
        <v>2</v>
      </c>
      <c r="CU29" s="14">
        <v>4</v>
      </c>
      <c r="CV29" s="4">
        <v>3</v>
      </c>
      <c r="CW29" s="4">
        <v>3</v>
      </c>
      <c r="CX29" s="4">
        <v>5</v>
      </c>
      <c r="CY29" s="4">
        <v>5</v>
      </c>
      <c r="CZ29" s="4">
        <v>4</v>
      </c>
      <c r="DA29" s="4">
        <v>4</v>
      </c>
      <c r="DB29" s="7">
        <v>3</v>
      </c>
      <c r="DC29" s="7">
        <v>3</v>
      </c>
      <c r="DD29" s="7">
        <v>5</v>
      </c>
      <c r="DE29" s="7">
        <v>3</v>
      </c>
      <c r="DF29" s="7">
        <v>4</v>
      </c>
      <c r="DG29" s="7">
        <v>3</v>
      </c>
      <c r="DH29" s="7">
        <v>4</v>
      </c>
      <c r="DI29" s="14">
        <v>3</v>
      </c>
      <c r="DJ29" s="7">
        <v>2</v>
      </c>
      <c r="DK29" s="7"/>
      <c r="DL29" s="7">
        <v>2</v>
      </c>
      <c r="DM29" s="7"/>
      <c r="DN29" s="7">
        <v>2</v>
      </c>
      <c r="DO29" s="7">
        <v>3</v>
      </c>
      <c r="DP29" s="14">
        <v>3</v>
      </c>
      <c r="DQ29" s="7">
        <v>4</v>
      </c>
      <c r="DR29" s="7">
        <v>3</v>
      </c>
      <c r="DS29" s="7">
        <v>4</v>
      </c>
      <c r="DT29" s="12">
        <v>4</v>
      </c>
      <c r="DU29" s="4">
        <v>2</v>
      </c>
      <c r="DV29" s="4">
        <v>2</v>
      </c>
      <c r="DW29" s="4">
        <v>2</v>
      </c>
      <c r="DX29" s="14">
        <v>2</v>
      </c>
      <c r="DY29" s="4">
        <v>2</v>
      </c>
      <c r="DZ29" s="4">
        <v>2</v>
      </c>
      <c r="EA29" s="4">
        <v>2</v>
      </c>
    </row>
    <row r="30" spans="1:131" x14ac:dyDescent="0.3">
      <c r="A30" s="55" t="s">
        <v>408</v>
      </c>
      <c r="B30" s="7">
        <v>5</v>
      </c>
      <c r="C30" s="7">
        <v>5</v>
      </c>
      <c r="D30" s="7">
        <v>5</v>
      </c>
      <c r="E30" s="7">
        <v>4</v>
      </c>
      <c r="F30" s="7">
        <v>4</v>
      </c>
      <c r="G30" s="7">
        <v>5</v>
      </c>
      <c r="H30" s="7">
        <v>2</v>
      </c>
      <c r="I30" s="7">
        <v>4</v>
      </c>
      <c r="J30" s="7">
        <v>4</v>
      </c>
      <c r="K30" s="7">
        <v>5</v>
      </c>
      <c r="L30" s="7">
        <v>5</v>
      </c>
      <c r="M30" s="7">
        <v>4</v>
      </c>
      <c r="N30" s="7">
        <v>4</v>
      </c>
      <c r="O30" s="7">
        <v>5</v>
      </c>
      <c r="P30" s="7">
        <v>4</v>
      </c>
      <c r="Q30" s="7">
        <v>5</v>
      </c>
      <c r="R30" s="7">
        <v>5</v>
      </c>
      <c r="S30" s="7">
        <v>5</v>
      </c>
      <c r="T30" s="7">
        <v>5</v>
      </c>
      <c r="U30" s="7">
        <v>5</v>
      </c>
      <c r="V30" s="7">
        <v>1</v>
      </c>
      <c r="W30" s="7">
        <v>5</v>
      </c>
      <c r="X30" s="26">
        <v>3</v>
      </c>
      <c r="Y30" s="26">
        <v>5</v>
      </c>
      <c r="Z30" s="26">
        <v>5</v>
      </c>
      <c r="AA30" s="26">
        <v>3</v>
      </c>
      <c r="AB30" s="26">
        <v>5</v>
      </c>
      <c r="AC30" s="26">
        <v>5</v>
      </c>
      <c r="AD30" s="26">
        <v>5</v>
      </c>
      <c r="AE30" s="26">
        <v>3</v>
      </c>
      <c r="AF30" s="26">
        <v>1</v>
      </c>
      <c r="AG30" s="26">
        <v>5</v>
      </c>
      <c r="AH30" s="7">
        <v>3</v>
      </c>
      <c r="AI30" s="7">
        <v>5</v>
      </c>
      <c r="AJ30" s="7">
        <v>5</v>
      </c>
      <c r="AK30" s="7">
        <v>5</v>
      </c>
      <c r="AL30" s="7">
        <v>4</v>
      </c>
      <c r="AM30" s="7">
        <v>5</v>
      </c>
      <c r="AN30" s="7">
        <v>5</v>
      </c>
      <c r="AO30" s="7">
        <v>5</v>
      </c>
      <c r="AP30" s="7">
        <v>5</v>
      </c>
      <c r="AQ30" s="7">
        <v>5</v>
      </c>
      <c r="AR30" s="7">
        <v>5</v>
      </c>
      <c r="AS30" s="7">
        <v>3</v>
      </c>
      <c r="AT30" s="7">
        <v>3</v>
      </c>
      <c r="AU30" s="7">
        <v>4</v>
      </c>
      <c r="AV30" s="12">
        <v>5</v>
      </c>
      <c r="AW30" s="7">
        <v>1</v>
      </c>
      <c r="AX30" s="7">
        <v>5</v>
      </c>
      <c r="AY30" s="7">
        <v>5</v>
      </c>
      <c r="AZ30" s="7">
        <v>5</v>
      </c>
      <c r="BA30" s="7">
        <v>3</v>
      </c>
      <c r="BB30" s="12">
        <v>1</v>
      </c>
      <c r="BC30" s="26">
        <v>5</v>
      </c>
      <c r="BD30" s="26">
        <v>5</v>
      </c>
      <c r="BE30" s="26">
        <v>4</v>
      </c>
      <c r="BF30" s="26">
        <v>5</v>
      </c>
      <c r="BG30" s="26">
        <v>5</v>
      </c>
      <c r="BH30" s="26">
        <v>5</v>
      </c>
      <c r="BI30" s="26">
        <v>5</v>
      </c>
      <c r="BJ30" s="7">
        <v>4</v>
      </c>
      <c r="BK30" s="26">
        <v>4</v>
      </c>
      <c r="BL30" s="26">
        <v>4</v>
      </c>
      <c r="BM30" s="26">
        <v>3</v>
      </c>
      <c r="BN30" s="26">
        <v>5</v>
      </c>
      <c r="BO30" s="26">
        <v>5</v>
      </c>
      <c r="BP30" s="4">
        <v>5</v>
      </c>
      <c r="BQ30" s="4">
        <v>5</v>
      </c>
      <c r="BR30" s="4">
        <v>3</v>
      </c>
      <c r="BS30" s="4">
        <v>5</v>
      </c>
      <c r="BT30" s="4">
        <v>5</v>
      </c>
      <c r="BU30" s="4">
        <v>5</v>
      </c>
      <c r="BV30" s="4">
        <v>5</v>
      </c>
      <c r="BW30" s="4">
        <v>4</v>
      </c>
      <c r="BX30" s="4">
        <v>4</v>
      </c>
      <c r="BY30" s="4">
        <v>2</v>
      </c>
      <c r="BZ30" s="4">
        <v>5</v>
      </c>
      <c r="CA30" s="4">
        <v>3</v>
      </c>
      <c r="CB30" s="4">
        <v>4</v>
      </c>
      <c r="CC30" s="4">
        <v>4</v>
      </c>
      <c r="CD30" s="4">
        <v>4</v>
      </c>
      <c r="CE30" s="4">
        <v>5</v>
      </c>
      <c r="CF30" s="4">
        <v>5</v>
      </c>
      <c r="CG30" s="4">
        <v>5</v>
      </c>
      <c r="CH30" s="4">
        <v>5</v>
      </c>
      <c r="CI30" s="14">
        <v>5</v>
      </c>
      <c r="CJ30" s="14">
        <v>4</v>
      </c>
      <c r="CK30" s="14">
        <v>4</v>
      </c>
      <c r="CL30" s="14">
        <v>5</v>
      </c>
      <c r="CM30" s="14">
        <v>5</v>
      </c>
      <c r="CN30" s="14">
        <v>3</v>
      </c>
      <c r="CO30" s="14">
        <v>5</v>
      </c>
      <c r="CP30" s="7">
        <v>5</v>
      </c>
      <c r="CQ30" s="14">
        <v>5</v>
      </c>
      <c r="CR30" s="14">
        <v>5</v>
      </c>
      <c r="CS30" s="14">
        <v>1</v>
      </c>
      <c r="CT30" s="14">
        <v>4</v>
      </c>
      <c r="CU30" s="14">
        <v>4</v>
      </c>
      <c r="CV30" s="4">
        <v>5</v>
      </c>
      <c r="CW30" s="4">
        <v>5</v>
      </c>
      <c r="CX30" s="4">
        <v>4</v>
      </c>
      <c r="CY30" s="4">
        <v>5</v>
      </c>
      <c r="CZ30" s="4">
        <v>5</v>
      </c>
      <c r="DA30" s="4">
        <v>5</v>
      </c>
      <c r="DB30" s="7">
        <v>5</v>
      </c>
      <c r="DC30" s="7">
        <v>5</v>
      </c>
      <c r="DD30" s="7">
        <v>5</v>
      </c>
      <c r="DE30" s="7">
        <v>5</v>
      </c>
      <c r="DF30" s="7">
        <v>5</v>
      </c>
      <c r="DG30" s="7">
        <v>4</v>
      </c>
      <c r="DH30" s="7">
        <v>1</v>
      </c>
      <c r="DI30" s="14">
        <v>5</v>
      </c>
      <c r="DJ30" s="7">
        <v>4</v>
      </c>
      <c r="DK30" s="7">
        <v>2</v>
      </c>
      <c r="DL30" s="7">
        <v>4</v>
      </c>
      <c r="DM30" s="7">
        <v>4</v>
      </c>
      <c r="DN30" s="7"/>
      <c r="DO30" s="7">
        <v>4</v>
      </c>
      <c r="DP30" s="14">
        <v>5</v>
      </c>
      <c r="DQ30" s="7">
        <v>1</v>
      </c>
      <c r="DR30" s="7">
        <v>1</v>
      </c>
      <c r="DS30" s="7">
        <v>5</v>
      </c>
      <c r="DT30" s="12">
        <v>1</v>
      </c>
      <c r="DU30" s="4">
        <v>5</v>
      </c>
      <c r="DV30" s="4">
        <v>5</v>
      </c>
      <c r="DW30" s="4">
        <v>5</v>
      </c>
      <c r="DX30" s="4">
        <v>5</v>
      </c>
      <c r="DY30" s="4">
        <v>4</v>
      </c>
      <c r="DZ30" s="4">
        <v>5</v>
      </c>
      <c r="EA30" s="4">
        <v>5</v>
      </c>
    </row>
    <row r="31" spans="1:131" x14ac:dyDescent="0.3">
      <c r="A31" s="55" t="s">
        <v>409</v>
      </c>
      <c r="B31" s="7">
        <v>1</v>
      </c>
      <c r="C31" s="7">
        <v>1</v>
      </c>
      <c r="D31" s="7">
        <v>1</v>
      </c>
      <c r="E31" s="7">
        <v>3</v>
      </c>
      <c r="F31" s="7">
        <v>1</v>
      </c>
      <c r="G31" s="7">
        <v>1</v>
      </c>
      <c r="H31" s="7">
        <v>2</v>
      </c>
      <c r="I31" s="7">
        <v>1</v>
      </c>
      <c r="J31" s="7">
        <v>1</v>
      </c>
      <c r="K31" s="7">
        <v>3</v>
      </c>
      <c r="L31" s="7">
        <v>2</v>
      </c>
      <c r="M31" s="7">
        <v>1</v>
      </c>
      <c r="N31" s="7">
        <v>1</v>
      </c>
      <c r="O31" s="7">
        <v>1</v>
      </c>
      <c r="P31" s="7">
        <v>1</v>
      </c>
      <c r="Q31" s="7">
        <v>1</v>
      </c>
      <c r="R31" s="7">
        <v>1</v>
      </c>
      <c r="S31" s="7">
        <v>1</v>
      </c>
      <c r="T31" s="7">
        <v>3</v>
      </c>
      <c r="U31" s="7">
        <v>1</v>
      </c>
      <c r="V31" s="7">
        <v>4</v>
      </c>
      <c r="W31" s="7">
        <v>1</v>
      </c>
      <c r="X31" s="26">
        <v>2</v>
      </c>
      <c r="Y31" s="26">
        <v>1</v>
      </c>
      <c r="Z31" s="26">
        <v>1</v>
      </c>
      <c r="AA31" s="26">
        <v>4</v>
      </c>
      <c r="AB31" s="26">
        <v>2</v>
      </c>
      <c r="AC31" s="26">
        <v>1</v>
      </c>
      <c r="AD31" s="26">
        <v>1</v>
      </c>
      <c r="AE31" s="26">
        <v>1</v>
      </c>
      <c r="AF31" s="26">
        <v>2</v>
      </c>
      <c r="AG31" s="26">
        <v>1</v>
      </c>
      <c r="AH31" s="7">
        <v>1</v>
      </c>
      <c r="AI31" s="7">
        <v>1</v>
      </c>
      <c r="AJ31" s="7">
        <v>4</v>
      </c>
      <c r="AK31" s="7">
        <v>2</v>
      </c>
      <c r="AL31" s="7">
        <v>2</v>
      </c>
      <c r="AM31" s="7">
        <v>2</v>
      </c>
      <c r="AN31" s="7">
        <v>1</v>
      </c>
      <c r="AO31" s="7">
        <v>4</v>
      </c>
      <c r="AP31" s="7">
        <v>1</v>
      </c>
      <c r="AQ31" s="7">
        <v>1</v>
      </c>
      <c r="AR31" s="7">
        <v>2</v>
      </c>
      <c r="AS31" s="7">
        <v>1</v>
      </c>
      <c r="AT31" s="7">
        <v>1</v>
      </c>
      <c r="AU31" s="7">
        <v>1</v>
      </c>
      <c r="AV31" s="12">
        <v>1</v>
      </c>
      <c r="AW31" s="7">
        <v>3</v>
      </c>
      <c r="AX31" s="7">
        <v>1</v>
      </c>
      <c r="AY31" s="7">
        <v>1</v>
      </c>
      <c r="AZ31" s="7">
        <v>1</v>
      </c>
      <c r="BA31" s="7">
        <v>1</v>
      </c>
      <c r="BB31" s="12">
        <v>1</v>
      </c>
      <c r="BC31" s="26">
        <v>1</v>
      </c>
      <c r="BD31" s="26">
        <v>1</v>
      </c>
      <c r="BE31" s="26">
        <v>1</v>
      </c>
      <c r="BF31" s="26">
        <v>5</v>
      </c>
      <c r="BG31" s="26">
        <v>1</v>
      </c>
      <c r="BH31" s="26">
        <v>1</v>
      </c>
      <c r="BI31" s="26">
        <v>1</v>
      </c>
      <c r="BJ31" s="7">
        <v>1</v>
      </c>
      <c r="BK31" s="26">
        <v>1</v>
      </c>
      <c r="BL31" s="26">
        <v>1</v>
      </c>
      <c r="BM31" s="26">
        <v>1</v>
      </c>
      <c r="BN31" s="26">
        <v>1</v>
      </c>
      <c r="BO31" s="26">
        <v>1</v>
      </c>
      <c r="BP31" s="4">
        <v>1</v>
      </c>
      <c r="BQ31" s="4">
        <v>1</v>
      </c>
      <c r="BR31" s="4">
        <v>1</v>
      </c>
      <c r="BS31" s="4">
        <v>1</v>
      </c>
      <c r="BT31" s="4">
        <v>1</v>
      </c>
      <c r="BU31" s="4">
        <v>1</v>
      </c>
      <c r="BV31" s="4">
        <v>1</v>
      </c>
      <c r="BW31" s="4">
        <v>1</v>
      </c>
      <c r="BX31" s="4">
        <v>2</v>
      </c>
      <c r="BY31" s="4">
        <v>1</v>
      </c>
      <c r="BZ31" s="4">
        <v>1</v>
      </c>
      <c r="CA31" s="4">
        <v>1</v>
      </c>
      <c r="CB31" s="4">
        <v>1</v>
      </c>
      <c r="CC31" s="4">
        <v>1</v>
      </c>
      <c r="CD31" s="4">
        <v>1</v>
      </c>
      <c r="CE31" s="4">
        <v>1</v>
      </c>
      <c r="CF31" s="4">
        <v>1</v>
      </c>
      <c r="CG31" s="4">
        <v>1</v>
      </c>
      <c r="CH31" s="4">
        <v>1</v>
      </c>
      <c r="CI31" s="14">
        <v>1</v>
      </c>
      <c r="CJ31" s="14">
        <v>1</v>
      </c>
      <c r="CK31" s="14">
        <v>1</v>
      </c>
      <c r="CL31" s="14">
        <v>1</v>
      </c>
      <c r="CM31" s="14">
        <v>1</v>
      </c>
      <c r="CN31" s="14">
        <v>1</v>
      </c>
      <c r="CO31" s="14">
        <v>1</v>
      </c>
      <c r="CP31" s="7">
        <v>1</v>
      </c>
      <c r="CQ31" s="14">
        <v>4</v>
      </c>
      <c r="CR31" s="14">
        <v>1</v>
      </c>
      <c r="CS31" s="14">
        <v>1</v>
      </c>
      <c r="CT31" s="14">
        <v>1</v>
      </c>
      <c r="CU31" s="14">
        <v>1</v>
      </c>
      <c r="CV31" s="4">
        <v>1</v>
      </c>
      <c r="CW31" s="4">
        <v>1</v>
      </c>
      <c r="CX31" s="4">
        <v>1</v>
      </c>
      <c r="CY31" s="4">
        <v>1</v>
      </c>
      <c r="CZ31" s="4">
        <v>1</v>
      </c>
      <c r="DA31" s="4">
        <v>1</v>
      </c>
      <c r="DB31" s="7">
        <v>3</v>
      </c>
      <c r="DC31" s="7">
        <v>1</v>
      </c>
      <c r="DD31" s="7">
        <v>1</v>
      </c>
      <c r="DE31" s="7">
        <v>5</v>
      </c>
      <c r="DF31" s="7">
        <v>1</v>
      </c>
      <c r="DG31" s="7">
        <v>1</v>
      </c>
      <c r="DH31" s="7">
        <v>1</v>
      </c>
      <c r="DI31" s="14">
        <v>1</v>
      </c>
      <c r="DJ31" s="7">
        <v>1</v>
      </c>
      <c r="DK31" s="7">
        <v>1</v>
      </c>
      <c r="DL31" s="7">
        <v>1</v>
      </c>
      <c r="DM31" s="7">
        <v>1</v>
      </c>
      <c r="DN31" s="7">
        <v>1</v>
      </c>
      <c r="DO31" s="7">
        <v>1</v>
      </c>
      <c r="DP31" s="14">
        <v>1</v>
      </c>
      <c r="DQ31" s="7">
        <v>1</v>
      </c>
      <c r="DR31" s="7">
        <v>1</v>
      </c>
      <c r="DS31" s="7">
        <v>2</v>
      </c>
      <c r="DT31" s="12">
        <v>3</v>
      </c>
      <c r="DU31" s="4">
        <v>1</v>
      </c>
      <c r="DV31" s="4">
        <v>1</v>
      </c>
      <c r="DW31" s="4">
        <v>1</v>
      </c>
      <c r="DX31" s="4">
        <v>2</v>
      </c>
      <c r="DY31" s="4">
        <v>1</v>
      </c>
      <c r="DZ31" s="4">
        <v>1</v>
      </c>
      <c r="EA31" s="4">
        <v>1</v>
      </c>
    </row>
    <row r="32" spans="1:131" x14ac:dyDescent="0.3">
      <c r="A32" s="55" t="s">
        <v>410</v>
      </c>
      <c r="B32" s="7">
        <v>3</v>
      </c>
      <c r="C32" s="7">
        <v>4</v>
      </c>
      <c r="D32" s="7">
        <v>3</v>
      </c>
      <c r="E32" s="7">
        <v>3</v>
      </c>
      <c r="F32" s="7">
        <v>3</v>
      </c>
      <c r="G32" s="7">
        <v>3</v>
      </c>
      <c r="H32" s="7">
        <v>2</v>
      </c>
      <c r="I32" s="7">
        <v>3</v>
      </c>
      <c r="J32" s="7">
        <v>3</v>
      </c>
      <c r="K32" s="7">
        <v>3</v>
      </c>
      <c r="L32" s="7">
        <v>5</v>
      </c>
      <c r="M32" s="7">
        <v>3</v>
      </c>
      <c r="N32" s="7">
        <v>3</v>
      </c>
      <c r="O32" s="7">
        <v>4</v>
      </c>
      <c r="P32" s="7">
        <v>3</v>
      </c>
      <c r="Q32" s="7">
        <v>3</v>
      </c>
      <c r="R32" s="7">
        <v>5</v>
      </c>
      <c r="S32" s="7">
        <v>3</v>
      </c>
      <c r="T32" s="7">
        <v>4</v>
      </c>
      <c r="U32" s="7">
        <v>1</v>
      </c>
      <c r="V32" s="7">
        <v>1</v>
      </c>
      <c r="W32" s="7">
        <v>4</v>
      </c>
      <c r="X32" s="26">
        <v>3</v>
      </c>
      <c r="Y32" s="26">
        <v>1</v>
      </c>
      <c r="Z32" s="26">
        <v>3</v>
      </c>
      <c r="AA32" s="26">
        <v>4</v>
      </c>
      <c r="AB32" s="26">
        <v>4</v>
      </c>
      <c r="AC32" s="26">
        <v>4</v>
      </c>
      <c r="AD32" s="26">
        <v>3</v>
      </c>
      <c r="AE32" s="26">
        <v>1</v>
      </c>
      <c r="AF32" s="26">
        <v>4</v>
      </c>
      <c r="AG32" s="26">
        <v>4</v>
      </c>
      <c r="AH32" s="7">
        <v>2</v>
      </c>
      <c r="AI32" s="7">
        <v>3</v>
      </c>
      <c r="AJ32" s="7">
        <v>5</v>
      </c>
      <c r="AK32" s="7">
        <v>3</v>
      </c>
      <c r="AL32" s="7">
        <v>5</v>
      </c>
      <c r="AM32" s="7">
        <v>4</v>
      </c>
      <c r="AN32" s="7">
        <v>5</v>
      </c>
      <c r="AO32" s="7">
        <v>5</v>
      </c>
      <c r="AP32" s="7">
        <v>5</v>
      </c>
      <c r="AQ32" s="7">
        <v>3</v>
      </c>
      <c r="AR32" s="7">
        <v>5</v>
      </c>
      <c r="AS32" s="7">
        <v>3</v>
      </c>
      <c r="AT32" s="7">
        <v>3</v>
      </c>
      <c r="AU32" s="7">
        <v>3</v>
      </c>
      <c r="AV32" s="12">
        <v>5</v>
      </c>
      <c r="AW32" s="7">
        <v>4</v>
      </c>
      <c r="AX32" s="7">
        <v>4</v>
      </c>
      <c r="AY32" s="7">
        <v>4</v>
      </c>
      <c r="AZ32" s="7">
        <v>3</v>
      </c>
      <c r="BA32" s="7">
        <v>3</v>
      </c>
      <c r="BB32" s="12">
        <v>4</v>
      </c>
      <c r="BC32" s="26">
        <v>2</v>
      </c>
      <c r="BD32" s="26">
        <v>2</v>
      </c>
      <c r="BE32" s="26">
        <v>3</v>
      </c>
      <c r="BF32" s="26">
        <v>3</v>
      </c>
      <c r="BG32" s="26">
        <v>1</v>
      </c>
      <c r="BH32" s="26">
        <v>3</v>
      </c>
      <c r="BI32" s="26">
        <v>4</v>
      </c>
      <c r="BJ32" s="7">
        <v>1</v>
      </c>
      <c r="BK32" s="26">
        <v>5</v>
      </c>
      <c r="BL32" s="26">
        <v>4</v>
      </c>
      <c r="BM32" s="26">
        <v>5</v>
      </c>
      <c r="BN32" s="26">
        <v>4</v>
      </c>
      <c r="BO32" s="26">
        <v>4</v>
      </c>
      <c r="BP32" s="4">
        <v>2</v>
      </c>
      <c r="BQ32" s="4">
        <v>2</v>
      </c>
      <c r="BR32" s="4">
        <v>4</v>
      </c>
      <c r="BS32" s="4">
        <v>3</v>
      </c>
      <c r="BT32" s="4">
        <v>1</v>
      </c>
      <c r="BU32" s="4">
        <v>1</v>
      </c>
      <c r="BV32" s="4">
        <v>1</v>
      </c>
      <c r="BW32" s="4">
        <v>4</v>
      </c>
      <c r="BX32" s="4">
        <v>4</v>
      </c>
      <c r="BY32" s="4">
        <v>1</v>
      </c>
      <c r="BZ32" s="4">
        <v>4</v>
      </c>
      <c r="CA32" s="4">
        <v>2</v>
      </c>
      <c r="CB32" s="4">
        <v>3</v>
      </c>
      <c r="CC32" s="4">
        <v>3</v>
      </c>
      <c r="CD32" s="4">
        <v>1</v>
      </c>
      <c r="CE32" s="4">
        <v>4</v>
      </c>
      <c r="CF32" s="4">
        <v>4</v>
      </c>
      <c r="CG32" s="4">
        <v>3</v>
      </c>
      <c r="CH32" s="4">
        <v>3</v>
      </c>
      <c r="CI32" s="14">
        <v>4</v>
      </c>
      <c r="CJ32" s="14">
        <v>5</v>
      </c>
      <c r="CK32" s="14">
        <v>3</v>
      </c>
      <c r="CL32" s="14">
        <v>2</v>
      </c>
      <c r="CM32" s="14">
        <v>2</v>
      </c>
      <c r="CN32" s="14">
        <v>4</v>
      </c>
      <c r="CO32" s="14">
        <v>4</v>
      </c>
      <c r="CP32" s="7">
        <v>4</v>
      </c>
      <c r="CQ32" s="14">
        <v>5</v>
      </c>
      <c r="CR32" s="14">
        <v>3</v>
      </c>
      <c r="CS32" s="14">
        <v>3</v>
      </c>
      <c r="CT32" s="14">
        <v>4</v>
      </c>
      <c r="CU32" s="14">
        <v>4</v>
      </c>
      <c r="CV32" s="4">
        <v>3</v>
      </c>
      <c r="CW32" s="4">
        <v>3</v>
      </c>
      <c r="CX32" s="4">
        <v>4</v>
      </c>
      <c r="CY32" s="4">
        <v>4</v>
      </c>
      <c r="CZ32" s="4">
        <v>4</v>
      </c>
      <c r="DA32" s="4">
        <v>4</v>
      </c>
      <c r="DB32" s="7">
        <v>4</v>
      </c>
      <c r="DC32" s="7">
        <v>3</v>
      </c>
      <c r="DD32" s="7">
        <v>3</v>
      </c>
      <c r="DE32" s="7">
        <v>3</v>
      </c>
      <c r="DF32" s="7">
        <v>3</v>
      </c>
      <c r="DG32" s="7">
        <v>2</v>
      </c>
      <c r="DH32" s="7">
        <v>3</v>
      </c>
      <c r="DI32" s="14">
        <v>3</v>
      </c>
      <c r="DJ32" s="7">
        <v>3</v>
      </c>
      <c r="DK32" s="7">
        <v>4</v>
      </c>
      <c r="DL32" s="7">
        <v>5</v>
      </c>
      <c r="DM32" s="7">
        <v>1</v>
      </c>
      <c r="DN32" s="7">
        <v>1</v>
      </c>
      <c r="DO32" s="7">
        <v>2</v>
      </c>
      <c r="DP32" s="14">
        <v>4</v>
      </c>
      <c r="DQ32" s="7">
        <v>4</v>
      </c>
      <c r="DR32" s="7">
        <v>1</v>
      </c>
      <c r="DS32" s="7">
        <v>5</v>
      </c>
      <c r="DT32" s="12">
        <v>4</v>
      </c>
      <c r="DU32" s="4">
        <v>5</v>
      </c>
      <c r="DV32" s="4">
        <v>3</v>
      </c>
      <c r="DW32" s="4">
        <v>3</v>
      </c>
      <c r="DX32" s="4">
        <v>3</v>
      </c>
      <c r="DY32" s="4">
        <v>2</v>
      </c>
      <c r="DZ32" s="4">
        <v>5</v>
      </c>
      <c r="EA32" s="4">
        <v>3</v>
      </c>
    </row>
    <row r="33" spans="1:131" x14ac:dyDescent="0.3">
      <c r="A33" s="55" t="s">
        <v>411</v>
      </c>
      <c r="B33" s="7">
        <v>3</v>
      </c>
      <c r="C33" s="7">
        <v>3</v>
      </c>
      <c r="D33" s="7">
        <v>3</v>
      </c>
      <c r="E33" s="7">
        <v>3</v>
      </c>
      <c r="F33" s="7">
        <v>3</v>
      </c>
      <c r="G33" s="7">
        <v>3</v>
      </c>
      <c r="H33" s="7">
        <v>2</v>
      </c>
      <c r="I33" s="7">
        <v>1</v>
      </c>
      <c r="J33" s="7">
        <v>1</v>
      </c>
      <c r="K33" s="7">
        <v>2</v>
      </c>
      <c r="L33" s="7">
        <v>3</v>
      </c>
      <c r="M33" s="7">
        <v>3</v>
      </c>
      <c r="N33" s="7">
        <v>2</v>
      </c>
      <c r="O33" s="7">
        <v>3</v>
      </c>
      <c r="P33" s="7">
        <v>1</v>
      </c>
      <c r="Q33" s="7">
        <v>2</v>
      </c>
      <c r="R33" s="7">
        <v>2</v>
      </c>
      <c r="S33" s="7">
        <v>2</v>
      </c>
      <c r="T33" s="7">
        <v>1</v>
      </c>
      <c r="U33" s="7">
        <v>1</v>
      </c>
      <c r="V33" s="7">
        <v>5</v>
      </c>
      <c r="W33" s="7">
        <v>1</v>
      </c>
      <c r="X33" s="26">
        <v>1</v>
      </c>
      <c r="Y33" s="26">
        <v>1</v>
      </c>
      <c r="Z33" s="26">
        <v>2</v>
      </c>
      <c r="AA33" s="26">
        <v>3</v>
      </c>
      <c r="AB33" s="26">
        <v>3</v>
      </c>
      <c r="AC33" s="26">
        <v>3</v>
      </c>
      <c r="AD33" s="26">
        <v>2</v>
      </c>
      <c r="AE33" s="26">
        <v>1</v>
      </c>
      <c r="AF33" s="26">
        <v>3</v>
      </c>
      <c r="AG33" s="26">
        <v>3</v>
      </c>
      <c r="AH33" s="7">
        <v>5</v>
      </c>
      <c r="AI33" s="7">
        <v>2</v>
      </c>
      <c r="AJ33" s="7">
        <v>3</v>
      </c>
      <c r="AK33" s="7">
        <v>2</v>
      </c>
      <c r="AL33" s="7">
        <v>5</v>
      </c>
      <c r="AM33" s="7">
        <v>5</v>
      </c>
      <c r="AN33" s="7">
        <v>3</v>
      </c>
      <c r="AO33" s="7">
        <v>4</v>
      </c>
      <c r="AP33" s="7">
        <v>1</v>
      </c>
      <c r="AQ33" s="7">
        <v>1</v>
      </c>
      <c r="AR33" s="7">
        <v>2</v>
      </c>
      <c r="AS33" s="7">
        <v>1</v>
      </c>
      <c r="AT33" s="7">
        <v>2</v>
      </c>
      <c r="AU33" s="7">
        <v>1</v>
      </c>
      <c r="AV33" s="12">
        <v>3</v>
      </c>
      <c r="AW33" s="7">
        <v>1</v>
      </c>
      <c r="AX33" s="7">
        <v>3</v>
      </c>
      <c r="AY33" s="7">
        <v>3</v>
      </c>
      <c r="AZ33" s="7">
        <v>3</v>
      </c>
      <c r="BA33" s="7">
        <v>3</v>
      </c>
      <c r="BB33" s="12">
        <v>3</v>
      </c>
      <c r="BC33" s="26">
        <v>1</v>
      </c>
      <c r="BD33" s="26">
        <v>1</v>
      </c>
      <c r="BE33" s="26">
        <v>2</v>
      </c>
      <c r="BF33" s="26">
        <v>1</v>
      </c>
      <c r="BG33" s="26">
        <v>1</v>
      </c>
      <c r="BH33" s="26">
        <v>1</v>
      </c>
      <c r="BI33" s="26">
        <v>1</v>
      </c>
      <c r="BJ33" s="7">
        <v>1</v>
      </c>
      <c r="BK33" s="26">
        <v>1</v>
      </c>
      <c r="BL33" s="26">
        <v>2</v>
      </c>
      <c r="BM33" s="26">
        <v>1</v>
      </c>
      <c r="BN33" s="26">
        <v>1</v>
      </c>
      <c r="BO33" s="26">
        <v>3</v>
      </c>
      <c r="BP33" s="4">
        <v>2</v>
      </c>
      <c r="BQ33" s="4">
        <v>1</v>
      </c>
      <c r="BR33" s="4">
        <v>2</v>
      </c>
      <c r="BS33" s="4">
        <v>3</v>
      </c>
      <c r="BT33" s="4">
        <v>1</v>
      </c>
      <c r="BU33" s="4">
        <v>2</v>
      </c>
      <c r="BV33" s="4">
        <v>2</v>
      </c>
      <c r="BW33" s="4">
        <v>1</v>
      </c>
      <c r="BX33" s="4">
        <v>3</v>
      </c>
      <c r="BY33" s="4">
        <v>1</v>
      </c>
      <c r="BZ33" s="4">
        <v>3</v>
      </c>
      <c r="CA33" s="4">
        <v>5</v>
      </c>
      <c r="CB33" s="4">
        <v>1</v>
      </c>
      <c r="CC33" s="4">
        <v>2</v>
      </c>
      <c r="CD33" s="4">
        <v>2</v>
      </c>
      <c r="CE33" s="4">
        <v>2</v>
      </c>
      <c r="CF33" s="4">
        <v>2</v>
      </c>
      <c r="CG33" s="4">
        <v>3</v>
      </c>
      <c r="CH33" s="4">
        <v>2</v>
      </c>
      <c r="CI33" s="14">
        <v>3</v>
      </c>
      <c r="CJ33" s="14">
        <v>1</v>
      </c>
      <c r="CK33" s="14">
        <v>2</v>
      </c>
      <c r="CL33" s="14">
        <v>3</v>
      </c>
      <c r="CM33" s="14">
        <v>2</v>
      </c>
      <c r="CN33" s="14">
        <v>1</v>
      </c>
      <c r="CO33" s="14">
        <v>1</v>
      </c>
      <c r="CP33" s="7">
        <v>5</v>
      </c>
      <c r="CQ33" s="14">
        <v>5</v>
      </c>
      <c r="CR33" s="14">
        <v>2</v>
      </c>
      <c r="CS33" s="14">
        <v>2</v>
      </c>
      <c r="CT33" s="14">
        <v>3</v>
      </c>
      <c r="CU33" s="14">
        <v>3</v>
      </c>
      <c r="CV33" s="4">
        <v>4</v>
      </c>
      <c r="CW33" s="4">
        <v>4</v>
      </c>
      <c r="CX33" s="4">
        <v>1</v>
      </c>
      <c r="CY33" s="4">
        <v>3</v>
      </c>
      <c r="CZ33" s="4">
        <v>2</v>
      </c>
      <c r="DA33" s="4">
        <v>2</v>
      </c>
      <c r="DB33" s="7">
        <v>2</v>
      </c>
      <c r="DC33" s="7">
        <v>3</v>
      </c>
      <c r="DD33" s="7">
        <v>2</v>
      </c>
      <c r="DE33" s="7">
        <v>3</v>
      </c>
      <c r="DF33" s="7">
        <v>2</v>
      </c>
      <c r="DG33" s="7">
        <v>2</v>
      </c>
      <c r="DH33" s="7">
        <v>2</v>
      </c>
      <c r="DI33" s="14">
        <v>2</v>
      </c>
      <c r="DJ33" s="7">
        <v>2</v>
      </c>
      <c r="DK33" s="7">
        <v>2</v>
      </c>
      <c r="DL33" s="7">
        <v>2</v>
      </c>
      <c r="DM33" s="7">
        <v>1</v>
      </c>
      <c r="DN33" s="7">
        <v>1</v>
      </c>
      <c r="DO33" s="7">
        <v>1</v>
      </c>
      <c r="DP33" s="14">
        <v>4</v>
      </c>
      <c r="DQ33" s="7">
        <v>3</v>
      </c>
      <c r="DR33" s="7">
        <v>3</v>
      </c>
      <c r="DS33" s="7">
        <v>2</v>
      </c>
      <c r="DT33" s="12">
        <v>5</v>
      </c>
      <c r="DU33" s="4">
        <v>2</v>
      </c>
      <c r="DV33" s="4">
        <v>1</v>
      </c>
      <c r="DW33" s="4">
        <v>1</v>
      </c>
      <c r="DX33" s="4">
        <v>3</v>
      </c>
      <c r="DY33" s="4">
        <v>1</v>
      </c>
      <c r="DZ33" s="4">
        <v>3</v>
      </c>
      <c r="EA33" s="4">
        <v>2</v>
      </c>
    </row>
    <row r="34" spans="1:131" x14ac:dyDescent="0.3">
      <c r="A34" s="55" t="s">
        <v>412</v>
      </c>
      <c r="B34" s="7">
        <v>4</v>
      </c>
      <c r="C34" s="7">
        <v>4</v>
      </c>
      <c r="D34" s="7">
        <v>4</v>
      </c>
      <c r="E34" s="7">
        <v>4</v>
      </c>
      <c r="F34" s="7">
        <v>3</v>
      </c>
      <c r="G34" s="7">
        <v>4</v>
      </c>
      <c r="H34" s="7">
        <v>3</v>
      </c>
      <c r="I34" s="7">
        <v>5</v>
      </c>
      <c r="J34" s="7">
        <v>5</v>
      </c>
      <c r="K34" s="7">
        <v>5</v>
      </c>
      <c r="L34" s="7">
        <v>5</v>
      </c>
      <c r="M34" s="7">
        <v>5</v>
      </c>
      <c r="N34" s="7">
        <v>5</v>
      </c>
      <c r="O34" s="7">
        <v>5</v>
      </c>
      <c r="P34" s="7">
        <v>5</v>
      </c>
      <c r="Q34" s="7">
        <v>5</v>
      </c>
      <c r="R34" s="7">
        <v>5</v>
      </c>
      <c r="S34" s="7">
        <v>2</v>
      </c>
      <c r="T34" s="7">
        <v>4</v>
      </c>
      <c r="U34" s="7">
        <v>5</v>
      </c>
      <c r="V34" s="7"/>
      <c r="W34" s="7">
        <v>5</v>
      </c>
      <c r="X34" s="26">
        <v>3</v>
      </c>
      <c r="Y34" s="26">
        <v>3</v>
      </c>
      <c r="Z34" s="26">
        <v>2</v>
      </c>
      <c r="AA34" s="26">
        <v>2</v>
      </c>
      <c r="AB34" s="26">
        <v>3</v>
      </c>
      <c r="AC34" s="26">
        <v>2</v>
      </c>
      <c r="AD34" s="26">
        <v>3</v>
      </c>
      <c r="AE34" s="26">
        <v>4</v>
      </c>
      <c r="AF34" s="26">
        <v>4</v>
      </c>
      <c r="AG34" s="26">
        <v>4</v>
      </c>
      <c r="AH34" s="7">
        <v>4</v>
      </c>
      <c r="AI34" s="7">
        <v>4</v>
      </c>
      <c r="AJ34" s="7">
        <v>5</v>
      </c>
      <c r="AK34" s="7">
        <v>4</v>
      </c>
      <c r="AL34" s="7">
        <v>4</v>
      </c>
      <c r="AM34" s="7">
        <v>4</v>
      </c>
      <c r="AN34" s="7">
        <v>5</v>
      </c>
      <c r="AO34" s="7">
        <v>5</v>
      </c>
      <c r="AP34" s="7">
        <v>5</v>
      </c>
      <c r="AQ34" s="7">
        <v>5</v>
      </c>
      <c r="AR34" s="7">
        <v>4</v>
      </c>
      <c r="AS34" s="7">
        <v>5</v>
      </c>
      <c r="AT34" s="7">
        <v>5</v>
      </c>
      <c r="AU34" s="7">
        <v>5</v>
      </c>
      <c r="AV34" s="12">
        <v>3</v>
      </c>
      <c r="AW34" s="7">
        <v>5</v>
      </c>
      <c r="AX34" s="7">
        <v>5</v>
      </c>
      <c r="AY34" s="7">
        <v>1</v>
      </c>
      <c r="AZ34" s="7">
        <v>2</v>
      </c>
      <c r="BA34" s="7">
        <v>4</v>
      </c>
      <c r="BB34" s="12">
        <v>4</v>
      </c>
      <c r="BC34" s="26">
        <v>3</v>
      </c>
      <c r="BD34" s="26">
        <v>3</v>
      </c>
      <c r="BE34" s="26">
        <v>4</v>
      </c>
      <c r="BF34" s="26">
        <v>3</v>
      </c>
      <c r="BG34" s="26">
        <v>5</v>
      </c>
      <c r="BH34" s="26">
        <v>3</v>
      </c>
      <c r="BI34" s="26">
        <v>3</v>
      </c>
      <c r="BJ34" s="7">
        <v>1</v>
      </c>
      <c r="BK34" s="26">
        <v>4</v>
      </c>
      <c r="BL34" s="26">
        <v>4</v>
      </c>
      <c r="BM34" s="26">
        <v>4</v>
      </c>
      <c r="BN34" s="26">
        <v>4</v>
      </c>
      <c r="BO34" s="26">
        <v>4</v>
      </c>
      <c r="BP34" s="4">
        <v>4</v>
      </c>
      <c r="BQ34" s="4">
        <v>1</v>
      </c>
      <c r="BR34" s="4">
        <v>2</v>
      </c>
      <c r="BS34" s="4">
        <v>4</v>
      </c>
      <c r="BT34" s="4">
        <v>2</v>
      </c>
      <c r="BU34" s="4">
        <v>4</v>
      </c>
      <c r="BV34" s="4">
        <v>4</v>
      </c>
      <c r="BW34" s="4">
        <v>1</v>
      </c>
      <c r="BX34" s="4">
        <v>4</v>
      </c>
      <c r="BY34" s="4">
        <v>4</v>
      </c>
      <c r="BZ34" s="4">
        <v>1</v>
      </c>
      <c r="CA34" s="4">
        <v>4</v>
      </c>
      <c r="CB34" s="4">
        <v>4</v>
      </c>
      <c r="CC34" s="4">
        <v>5</v>
      </c>
      <c r="CD34" s="4">
        <v>4</v>
      </c>
      <c r="CE34" s="4">
        <v>2</v>
      </c>
      <c r="CF34" s="4">
        <v>2</v>
      </c>
      <c r="CG34" s="4">
        <v>4</v>
      </c>
      <c r="CH34" s="4">
        <v>1</v>
      </c>
      <c r="CI34" s="14">
        <v>1</v>
      </c>
      <c r="CJ34" s="14">
        <v>5</v>
      </c>
      <c r="CK34" s="14">
        <v>2</v>
      </c>
      <c r="CL34" s="14">
        <v>4</v>
      </c>
      <c r="CM34" s="14">
        <v>2</v>
      </c>
      <c r="CN34" s="14">
        <v>5</v>
      </c>
      <c r="CO34" s="14">
        <v>5</v>
      </c>
      <c r="CP34" s="7">
        <v>5</v>
      </c>
      <c r="CQ34" s="14">
        <v>5</v>
      </c>
      <c r="CR34" s="14">
        <v>5</v>
      </c>
      <c r="CS34" s="14">
        <v>4</v>
      </c>
      <c r="CT34" s="14">
        <v>5</v>
      </c>
      <c r="CU34" s="14">
        <v>5</v>
      </c>
      <c r="CV34" s="4">
        <v>3</v>
      </c>
      <c r="CW34" s="4">
        <v>3</v>
      </c>
      <c r="CX34" s="4">
        <v>3</v>
      </c>
      <c r="CY34" s="4">
        <v>2</v>
      </c>
      <c r="CZ34" s="4">
        <v>3</v>
      </c>
      <c r="DA34" s="4">
        <v>3</v>
      </c>
      <c r="DB34" s="7">
        <v>4</v>
      </c>
      <c r="DC34" s="7">
        <v>4</v>
      </c>
      <c r="DD34" s="7">
        <v>1</v>
      </c>
      <c r="DE34" s="7">
        <v>2</v>
      </c>
      <c r="DF34" s="7">
        <v>2</v>
      </c>
      <c r="DG34" s="7">
        <v>4</v>
      </c>
      <c r="DH34" s="7">
        <v>4</v>
      </c>
      <c r="DI34" s="14">
        <v>4</v>
      </c>
      <c r="DJ34" s="7">
        <v>4</v>
      </c>
      <c r="DK34" s="7">
        <v>2</v>
      </c>
      <c r="DL34" s="7">
        <v>4</v>
      </c>
      <c r="DM34" s="7">
        <v>5</v>
      </c>
      <c r="DN34" s="7">
        <v>5</v>
      </c>
      <c r="DO34" s="7">
        <v>3</v>
      </c>
      <c r="DP34" s="14">
        <v>4</v>
      </c>
      <c r="DQ34" s="7">
        <v>5</v>
      </c>
      <c r="DR34" s="7">
        <v>5</v>
      </c>
      <c r="DS34" s="7">
        <v>5</v>
      </c>
      <c r="DT34" s="12">
        <v>1</v>
      </c>
      <c r="DU34" s="4">
        <v>1</v>
      </c>
      <c r="DV34" s="4">
        <v>3</v>
      </c>
      <c r="DW34" s="4">
        <v>3</v>
      </c>
      <c r="DX34" s="4">
        <v>3</v>
      </c>
      <c r="DY34" s="4">
        <v>2</v>
      </c>
      <c r="DZ34" s="4">
        <v>5</v>
      </c>
      <c r="EA34" s="4">
        <v>3</v>
      </c>
    </row>
    <row r="35" spans="1:131" x14ac:dyDescent="0.3">
      <c r="A35" s="55" t="s">
        <v>413</v>
      </c>
      <c r="B35" s="7">
        <v>4</v>
      </c>
      <c r="C35" s="7">
        <v>3</v>
      </c>
      <c r="D35" s="7">
        <v>1</v>
      </c>
      <c r="E35" s="7">
        <v>1</v>
      </c>
      <c r="F35" s="7">
        <v>1</v>
      </c>
      <c r="G35" s="7">
        <v>1</v>
      </c>
      <c r="H35" s="7">
        <v>1</v>
      </c>
      <c r="I35" s="7"/>
      <c r="J35" s="7">
        <v>1</v>
      </c>
      <c r="K35" s="7">
        <v>1</v>
      </c>
      <c r="L35" s="7"/>
      <c r="M35" s="7">
        <v>1</v>
      </c>
      <c r="N35" s="7">
        <v>5</v>
      </c>
      <c r="O35" s="7">
        <v>4</v>
      </c>
      <c r="P35" s="7">
        <v>1</v>
      </c>
      <c r="Q35" s="7">
        <v>1</v>
      </c>
      <c r="R35" s="7">
        <v>1</v>
      </c>
      <c r="S35" s="7">
        <v>1</v>
      </c>
      <c r="T35" s="7">
        <v>2</v>
      </c>
      <c r="U35" s="7">
        <v>1</v>
      </c>
      <c r="V35" s="7"/>
      <c r="W35" s="7">
        <v>5</v>
      </c>
      <c r="X35" s="26">
        <v>3</v>
      </c>
      <c r="Y35" s="26">
        <v>1</v>
      </c>
      <c r="Z35" s="26">
        <v>1</v>
      </c>
      <c r="AA35" s="26">
        <v>1</v>
      </c>
      <c r="AB35" s="26">
        <v>5</v>
      </c>
      <c r="AC35" s="26">
        <v>4</v>
      </c>
      <c r="AD35" s="26">
        <v>1</v>
      </c>
      <c r="AE35" s="26">
        <v>1</v>
      </c>
      <c r="AF35" s="26">
        <v>4</v>
      </c>
      <c r="AG35" s="26">
        <v>1</v>
      </c>
      <c r="AH35" s="7">
        <v>1</v>
      </c>
      <c r="AI35" s="7">
        <v>4</v>
      </c>
      <c r="AJ35" s="7">
        <v>4</v>
      </c>
      <c r="AK35" s="7">
        <v>4</v>
      </c>
      <c r="AL35" s="7">
        <v>1</v>
      </c>
      <c r="AM35" s="7">
        <v>1</v>
      </c>
      <c r="AN35" s="7">
        <v>5</v>
      </c>
      <c r="AO35" s="7">
        <v>1</v>
      </c>
      <c r="AP35" s="7">
        <v>4</v>
      </c>
      <c r="AQ35" s="7">
        <v>1</v>
      </c>
      <c r="AR35" s="7">
        <v>4</v>
      </c>
      <c r="AS35" s="7"/>
      <c r="AT35" s="7">
        <v>1</v>
      </c>
      <c r="AU35" s="7">
        <v>1</v>
      </c>
      <c r="AV35" s="12">
        <v>2</v>
      </c>
      <c r="AW35" s="7"/>
      <c r="AX35" s="7">
        <v>3</v>
      </c>
      <c r="AY35" s="7">
        <v>2</v>
      </c>
      <c r="AZ35" s="7">
        <v>2</v>
      </c>
      <c r="BA35" s="7">
        <v>1</v>
      </c>
      <c r="BB35" s="12">
        <v>2</v>
      </c>
      <c r="BC35" s="26">
        <v>1</v>
      </c>
      <c r="BD35" s="26">
        <v>2</v>
      </c>
      <c r="BE35" s="26">
        <v>3</v>
      </c>
      <c r="BF35" s="26">
        <v>1</v>
      </c>
      <c r="BG35" s="26">
        <v>1</v>
      </c>
      <c r="BH35" s="26">
        <v>4</v>
      </c>
      <c r="BI35" s="26">
        <v>1</v>
      </c>
      <c r="BJ35" s="7">
        <v>1</v>
      </c>
      <c r="BK35" s="26">
        <v>2</v>
      </c>
      <c r="BL35" s="26">
        <v>4</v>
      </c>
      <c r="BM35" s="26">
        <v>4</v>
      </c>
      <c r="BN35" s="26">
        <v>1</v>
      </c>
      <c r="BO35" s="26">
        <v>1</v>
      </c>
      <c r="BP35" s="4">
        <v>1</v>
      </c>
      <c r="BQ35" s="4">
        <v>1</v>
      </c>
      <c r="BR35" s="4">
        <v>1</v>
      </c>
      <c r="BS35" s="4">
        <v>2</v>
      </c>
      <c r="BT35" s="4">
        <v>1</v>
      </c>
      <c r="BU35" s="4">
        <v>1</v>
      </c>
      <c r="BV35" s="4">
        <v>1</v>
      </c>
      <c r="BW35" s="4">
        <v>1</v>
      </c>
      <c r="BX35" s="4">
        <v>1</v>
      </c>
      <c r="BY35" s="4">
        <v>4</v>
      </c>
      <c r="BZ35" s="4">
        <v>1</v>
      </c>
      <c r="CA35" s="4">
        <v>1</v>
      </c>
      <c r="CB35" s="4">
        <v>1</v>
      </c>
      <c r="CC35" s="4">
        <v>4</v>
      </c>
      <c r="CD35" s="4">
        <v>2</v>
      </c>
      <c r="CE35" s="4">
        <v>3</v>
      </c>
      <c r="CF35" s="4">
        <v>3</v>
      </c>
      <c r="CG35" s="4">
        <v>3</v>
      </c>
      <c r="CH35" s="4">
        <v>3</v>
      </c>
      <c r="CI35" s="14">
        <v>1</v>
      </c>
      <c r="CJ35" s="14">
        <v>4</v>
      </c>
      <c r="CK35" s="14">
        <v>2</v>
      </c>
      <c r="CL35" s="14">
        <v>2</v>
      </c>
      <c r="CM35" s="14">
        <v>3</v>
      </c>
      <c r="CN35" s="14">
        <v>1</v>
      </c>
      <c r="CO35" s="14">
        <v>-2</v>
      </c>
      <c r="CP35" s="7"/>
      <c r="CQ35" s="14">
        <v>4</v>
      </c>
      <c r="CR35" s="14"/>
      <c r="CS35" s="14">
        <v>1</v>
      </c>
      <c r="CT35" s="14">
        <v>2</v>
      </c>
      <c r="CU35" s="14">
        <v>2</v>
      </c>
      <c r="CV35" s="4">
        <v>2</v>
      </c>
      <c r="CW35" s="4">
        <v>2</v>
      </c>
      <c r="CX35" s="4">
        <v>1</v>
      </c>
      <c r="CY35" s="4">
        <v>1</v>
      </c>
      <c r="CZ35" s="4">
        <v>4</v>
      </c>
      <c r="DA35" s="4">
        <v>4</v>
      </c>
      <c r="DB35" s="7">
        <v>1</v>
      </c>
      <c r="DC35" s="7">
        <v>1</v>
      </c>
      <c r="DD35" s="7">
        <v>1</v>
      </c>
      <c r="DE35" s="7">
        <v>4</v>
      </c>
      <c r="DF35" s="7">
        <v>1</v>
      </c>
      <c r="DG35" s="7">
        <v>1</v>
      </c>
      <c r="DH35" s="7">
        <v>1</v>
      </c>
      <c r="DI35" s="14">
        <v>1</v>
      </c>
      <c r="DJ35" s="7">
        <v>3</v>
      </c>
      <c r="DK35" s="7">
        <v>4</v>
      </c>
      <c r="DL35" s="7">
        <v>4</v>
      </c>
      <c r="DM35" s="7">
        <v>1</v>
      </c>
      <c r="DN35" s="7">
        <v>5</v>
      </c>
      <c r="DO35" s="7">
        <v>4</v>
      </c>
      <c r="DP35" s="14">
        <v>4</v>
      </c>
      <c r="DQ35" s="7">
        <v>1</v>
      </c>
      <c r="DR35" s="7">
        <v>1</v>
      </c>
      <c r="DS35" s="7">
        <v>3</v>
      </c>
      <c r="DT35" s="12">
        <v>4</v>
      </c>
      <c r="DU35" s="4">
        <v>1</v>
      </c>
      <c r="DV35" s="4">
        <v>2</v>
      </c>
      <c r="DW35" s="4">
        <v>2</v>
      </c>
      <c r="DX35" s="4">
        <v>1</v>
      </c>
      <c r="DY35" s="4">
        <v>1</v>
      </c>
      <c r="DZ35" s="4">
        <v>1</v>
      </c>
      <c r="EA35" s="4">
        <v>4</v>
      </c>
    </row>
    <row r="36" spans="1:131" x14ac:dyDescent="0.3">
      <c r="A36" s="55" t="s">
        <v>414</v>
      </c>
      <c r="B36" s="7">
        <v>3</v>
      </c>
      <c r="C36" s="7"/>
      <c r="D36" s="7"/>
      <c r="E36" s="7"/>
      <c r="F36" s="7"/>
      <c r="G36" s="7"/>
      <c r="H36" s="7"/>
      <c r="I36" s="7"/>
      <c r="J36" s="7"/>
      <c r="K36" s="7">
        <v>1</v>
      </c>
      <c r="L36" s="7"/>
      <c r="M36" s="7">
        <v>1</v>
      </c>
      <c r="N36" s="7">
        <v>4</v>
      </c>
      <c r="O36" s="7">
        <v>4</v>
      </c>
      <c r="P36" s="7">
        <v>1</v>
      </c>
      <c r="Q36" s="7"/>
      <c r="R36" s="7">
        <v>1</v>
      </c>
      <c r="S36" s="7">
        <v>1</v>
      </c>
      <c r="T36" s="7">
        <v>2</v>
      </c>
      <c r="U36" s="7">
        <v>1</v>
      </c>
      <c r="V36" s="7"/>
      <c r="W36" s="7">
        <v>2</v>
      </c>
      <c r="X36" s="26">
        <v>1</v>
      </c>
      <c r="Y36" s="26">
        <v>1</v>
      </c>
      <c r="Z36" s="26">
        <v>1</v>
      </c>
      <c r="AA36" s="26">
        <v>3</v>
      </c>
      <c r="AB36" s="26">
        <v>4</v>
      </c>
      <c r="AC36" s="26">
        <v>4</v>
      </c>
      <c r="AD36" s="26">
        <v>1</v>
      </c>
      <c r="AE36" s="26">
        <v>2</v>
      </c>
      <c r="AF36" s="26">
        <v>2</v>
      </c>
      <c r="AG36" s="26">
        <v>2</v>
      </c>
      <c r="AH36" s="7">
        <v>1</v>
      </c>
      <c r="AI36" s="7">
        <v>4</v>
      </c>
      <c r="AJ36" s="7">
        <v>5</v>
      </c>
      <c r="AK36" s="7">
        <v>3</v>
      </c>
      <c r="AL36" s="7">
        <v>5</v>
      </c>
      <c r="AM36" s="7"/>
      <c r="AN36" s="7">
        <v>5</v>
      </c>
      <c r="AO36" s="7">
        <v>2</v>
      </c>
      <c r="AP36" s="7">
        <v>2</v>
      </c>
      <c r="AQ36" s="7">
        <v>1</v>
      </c>
      <c r="AR36" s="7">
        <v>4</v>
      </c>
      <c r="AS36" s="7"/>
      <c r="AT36" s="7"/>
      <c r="AU36" s="7">
        <v>1</v>
      </c>
      <c r="AV36" s="12">
        <v>1</v>
      </c>
      <c r="AW36" s="7"/>
      <c r="AX36" s="7">
        <v>3</v>
      </c>
      <c r="AY36" s="7"/>
      <c r="AZ36" s="7"/>
      <c r="BA36" s="7"/>
      <c r="BB36" s="12">
        <v>2</v>
      </c>
      <c r="BC36" s="26">
        <v>1</v>
      </c>
      <c r="BD36" s="26">
        <v>2</v>
      </c>
      <c r="BE36" s="26">
        <v>2</v>
      </c>
      <c r="BF36" s="26">
        <v>1</v>
      </c>
      <c r="BG36" s="26">
        <v>2</v>
      </c>
      <c r="BH36" s="26">
        <v>2</v>
      </c>
      <c r="BI36" s="26">
        <v>2</v>
      </c>
      <c r="BJ36" s="7">
        <v>2</v>
      </c>
      <c r="BK36" s="26">
        <v>2</v>
      </c>
      <c r="BL36" s="26">
        <v>2</v>
      </c>
      <c r="BM36" s="26">
        <v>2</v>
      </c>
      <c r="BN36" s="26">
        <v>3</v>
      </c>
      <c r="BO36" s="26">
        <v>3</v>
      </c>
      <c r="BP36" s="4">
        <v>2</v>
      </c>
      <c r="BQ36" s="4">
        <v>1</v>
      </c>
      <c r="BR36" s="4">
        <v>1</v>
      </c>
      <c r="BS36" s="4">
        <v>2</v>
      </c>
      <c r="BT36" s="4">
        <v>1</v>
      </c>
      <c r="BU36" s="4">
        <v>1</v>
      </c>
      <c r="BV36" s="4">
        <v>1</v>
      </c>
      <c r="BW36" s="4">
        <v>2</v>
      </c>
      <c r="BX36" s="4">
        <v>1</v>
      </c>
      <c r="BY36" s="4">
        <v>4</v>
      </c>
      <c r="BZ36" s="4"/>
      <c r="CA36" s="4">
        <v>2</v>
      </c>
      <c r="CB36" s="4">
        <v>2</v>
      </c>
      <c r="CC36" s="4">
        <v>3</v>
      </c>
      <c r="CD36" s="4">
        <v>2</v>
      </c>
      <c r="CE36" s="4">
        <v>3</v>
      </c>
      <c r="CF36" s="4">
        <v>3</v>
      </c>
      <c r="CG36" s="4">
        <v>2</v>
      </c>
      <c r="CH36" s="4">
        <v>2</v>
      </c>
      <c r="CI36" s="14"/>
      <c r="CJ36" s="14">
        <v>3</v>
      </c>
      <c r="CK36" s="14">
        <v>3</v>
      </c>
      <c r="CL36" s="14">
        <v>3</v>
      </c>
      <c r="CM36" s="14">
        <v>2</v>
      </c>
      <c r="CN36" s="14">
        <v>1</v>
      </c>
      <c r="CO36" s="14">
        <v>1</v>
      </c>
      <c r="CP36" s="7">
        <v>4</v>
      </c>
      <c r="CQ36" s="14">
        <v>3</v>
      </c>
      <c r="CR36" s="14"/>
      <c r="CS36" s="14"/>
      <c r="CT36" s="14">
        <v>3</v>
      </c>
      <c r="CU36" s="14">
        <v>3</v>
      </c>
      <c r="CV36" s="4">
        <v>1</v>
      </c>
      <c r="CW36" s="4">
        <v>1</v>
      </c>
      <c r="CX36" s="4">
        <v>1</v>
      </c>
      <c r="CY36" s="4">
        <v>1</v>
      </c>
      <c r="CZ36" s="4">
        <v>2</v>
      </c>
      <c r="DA36" s="4">
        <v>2</v>
      </c>
      <c r="DB36" s="7"/>
      <c r="DC36" s="7"/>
      <c r="DD36" s="7"/>
      <c r="DE36" s="7">
        <v>3</v>
      </c>
      <c r="DF36" s="7"/>
      <c r="DG36" s="7"/>
      <c r="DH36" s="7"/>
      <c r="DI36" s="14">
        <v>2</v>
      </c>
      <c r="DJ36" s="7">
        <v>1</v>
      </c>
      <c r="DK36" s="7">
        <v>1</v>
      </c>
      <c r="DL36" s="7">
        <v>3</v>
      </c>
      <c r="DM36" s="7"/>
      <c r="DN36" s="7">
        <v>4</v>
      </c>
      <c r="DO36" s="7">
        <v>4</v>
      </c>
      <c r="DP36" s="14">
        <v>4</v>
      </c>
      <c r="DQ36" s="7"/>
      <c r="DR36" s="7">
        <v>2</v>
      </c>
      <c r="DS36" s="7">
        <v>4</v>
      </c>
      <c r="DT36" s="12">
        <v>2</v>
      </c>
      <c r="DU36" s="4">
        <v>2</v>
      </c>
      <c r="DV36" s="4">
        <v>1</v>
      </c>
      <c r="DW36" s="4">
        <v>2</v>
      </c>
      <c r="DX36" s="4">
        <v>2</v>
      </c>
      <c r="DY36" s="4">
        <v>1</v>
      </c>
      <c r="DZ36" s="4">
        <v>1</v>
      </c>
      <c r="EA36" s="4">
        <v>3</v>
      </c>
    </row>
    <row r="37" spans="1:131" ht="28.8" x14ac:dyDescent="0.3">
      <c r="A37" s="55" t="s">
        <v>415</v>
      </c>
      <c r="B37" s="7">
        <v>3</v>
      </c>
      <c r="C37" s="7"/>
      <c r="D37" s="7"/>
      <c r="E37" s="7"/>
      <c r="F37" s="7"/>
      <c r="G37" s="7"/>
      <c r="H37" s="7"/>
      <c r="I37" s="7"/>
      <c r="J37" s="7"/>
      <c r="K37" s="7"/>
      <c r="L37" s="7"/>
      <c r="M37" s="7"/>
      <c r="N37" s="7">
        <v>3</v>
      </c>
      <c r="O37" s="7">
        <v>2</v>
      </c>
      <c r="P37" s="7"/>
      <c r="Q37" s="7"/>
      <c r="R37" s="7">
        <v>1</v>
      </c>
      <c r="S37" s="7">
        <v>1</v>
      </c>
      <c r="T37" s="7">
        <v>1</v>
      </c>
      <c r="U37" s="7">
        <v>2</v>
      </c>
      <c r="V37" s="7">
        <v>1</v>
      </c>
      <c r="W37" s="7">
        <v>3</v>
      </c>
      <c r="X37" s="26">
        <v>2</v>
      </c>
      <c r="Y37" s="26">
        <v>1</v>
      </c>
      <c r="Z37" s="26">
        <v>1</v>
      </c>
      <c r="AA37" s="26">
        <v>3</v>
      </c>
      <c r="AB37" s="26">
        <v>3</v>
      </c>
      <c r="AC37" s="26">
        <v>4</v>
      </c>
      <c r="AD37" s="26">
        <v>1</v>
      </c>
      <c r="AE37" s="26">
        <v>5</v>
      </c>
      <c r="AF37" s="26">
        <v>1</v>
      </c>
      <c r="AG37" s="26">
        <v>1</v>
      </c>
      <c r="AH37" s="7">
        <v>1</v>
      </c>
      <c r="AI37" s="7">
        <v>4</v>
      </c>
      <c r="AJ37" s="7">
        <v>4</v>
      </c>
      <c r="AK37" s="7">
        <v>1</v>
      </c>
      <c r="AL37" s="7">
        <v>3</v>
      </c>
      <c r="AM37" s="7"/>
      <c r="AN37" s="7">
        <v>5</v>
      </c>
      <c r="AO37" s="7"/>
      <c r="AP37" s="7">
        <v>3</v>
      </c>
      <c r="AQ37" s="7"/>
      <c r="AR37" s="7">
        <v>3</v>
      </c>
      <c r="AS37" s="7"/>
      <c r="AT37" s="7"/>
      <c r="AU37" s="7"/>
      <c r="AV37" s="12">
        <v>2</v>
      </c>
      <c r="AW37" s="7"/>
      <c r="AX37" s="7" t="s">
        <v>416</v>
      </c>
      <c r="AY37" s="7"/>
      <c r="AZ37" s="7">
        <v>4</v>
      </c>
      <c r="BA37" s="7"/>
      <c r="BB37" s="12"/>
      <c r="BC37" s="26">
        <v>1</v>
      </c>
      <c r="BD37" s="26">
        <v>1</v>
      </c>
      <c r="BE37" s="26">
        <v>1</v>
      </c>
      <c r="BF37" s="26">
        <v>1</v>
      </c>
      <c r="BG37" s="26">
        <v>1</v>
      </c>
      <c r="BH37" s="26">
        <v>1</v>
      </c>
      <c r="BI37" s="26">
        <v>2</v>
      </c>
      <c r="BJ37" s="7">
        <v>1</v>
      </c>
      <c r="BK37" s="26">
        <v>2</v>
      </c>
      <c r="BL37" s="26">
        <v>2</v>
      </c>
      <c r="BM37" s="26">
        <v>2</v>
      </c>
      <c r="BN37" s="26">
        <v>2</v>
      </c>
      <c r="BO37" s="26">
        <v>1</v>
      </c>
      <c r="BP37" s="4">
        <v>1</v>
      </c>
      <c r="BQ37" s="4">
        <v>1</v>
      </c>
      <c r="BR37" s="4">
        <v>1</v>
      </c>
      <c r="BS37" s="4">
        <v>3</v>
      </c>
      <c r="BT37" s="4">
        <v>1</v>
      </c>
      <c r="BU37" s="4">
        <v>4</v>
      </c>
      <c r="BV37" s="4">
        <v>4</v>
      </c>
      <c r="BW37" s="4">
        <v>1</v>
      </c>
      <c r="BX37" s="4"/>
      <c r="BY37" s="4">
        <v>4</v>
      </c>
      <c r="BZ37" s="4"/>
      <c r="CA37" s="4">
        <v>4</v>
      </c>
      <c r="CB37" s="4">
        <v>1</v>
      </c>
      <c r="CC37" s="4">
        <v>3</v>
      </c>
      <c r="CD37" s="4">
        <v>3</v>
      </c>
      <c r="CE37" s="4"/>
      <c r="CF37" s="4"/>
      <c r="CG37" s="4">
        <v>3</v>
      </c>
      <c r="CH37" s="4">
        <v>3</v>
      </c>
      <c r="CI37" s="14"/>
      <c r="CJ37" s="14">
        <v>3</v>
      </c>
      <c r="CK37" s="14">
        <v>4</v>
      </c>
      <c r="CL37" s="14"/>
      <c r="CM37" s="14">
        <v>1</v>
      </c>
      <c r="CN37" s="14">
        <v>-3</v>
      </c>
      <c r="CO37" s="14">
        <v>-3</v>
      </c>
      <c r="CP37" s="7">
        <v>3</v>
      </c>
      <c r="CQ37" s="14">
        <v>3</v>
      </c>
      <c r="CR37" s="14"/>
      <c r="CS37" s="14"/>
      <c r="CT37" s="14">
        <v>3</v>
      </c>
      <c r="CU37" s="14">
        <v>5</v>
      </c>
      <c r="CV37" s="4">
        <v>5</v>
      </c>
      <c r="CW37" s="4">
        <v>5</v>
      </c>
      <c r="CX37" s="4">
        <v>5</v>
      </c>
      <c r="CY37" s="4">
        <v>5</v>
      </c>
      <c r="CZ37" s="4">
        <v>4</v>
      </c>
      <c r="DA37" s="4">
        <v>4</v>
      </c>
      <c r="DB37" s="7"/>
      <c r="DC37" s="7"/>
      <c r="DD37" s="7"/>
      <c r="DE37" s="7">
        <v>3</v>
      </c>
      <c r="DF37" s="7"/>
      <c r="DG37" s="7"/>
      <c r="DH37" s="7"/>
      <c r="DI37" s="14">
        <v>3</v>
      </c>
      <c r="DJ37" s="7">
        <v>2</v>
      </c>
      <c r="DK37" s="7">
        <v>3</v>
      </c>
      <c r="DL37" s="7">
        <v>3</v>
      </c>
      <c r="DM37" s="7"/>
      <c r="DN37" s="7">
        <v>4</v>
      </c>
      <c r="DO37" s="7">
        <v>3</v>
      </c>
      <c r="DP37" s="14">
        <v>3</v>
      </c>
      <c r="DQ37" s="7"/>
      <c r="DR37" s="7"/>
      <c r="DS37" s="7">
        <v>3</v>
      </c>
      <c r="DT37" s="12">
        <v>3</v>
      </c>
      <c r="DU37" s="4">
        <v>1</v>
      </c>
      <c r="DV37" s="4">
        <v>1</v>
      </c>
      <c r="DW37" s="4">
        <v>1</v>
      </c>
      <c r="DX37" s="4">
        <v>1</v>
      </c>
      <c r="DY37" s="4">
        <v>1</v>
      </c>
      <c r="DZ37" s="4">
        <v>1</v>
      </c>
      <c r="EA37" s="4">
        <v>2</v>
      </c>
    </row>
    <row r="38" spans="1:131" x14ac:dyDescent="0.3">
      <c r="A38" s="55" t="s">
        <v>417</v>
      </c>
      <c r="B38" s="7">
        <v>1</v>
      </c>
      <c r="C38" s="7">
        <v>1</v>
      </c>
      <c r="D38" s="7">
        <v>3</v>
      </c>
      <c r="E38" s="7">
        <v>3</v>
      </c>
      <c r="F38" s="7">
        <v>3</v>
      </c>
      <c r="G38" s="7">
        <v>3</v>
      </c>
      <c r="H38" s="7">
        <v>3</v>
      </c>
      <c r="I38" s="7">
        <v>1</v>
      </c>
      <c r="J38" s="7">
        <v>2</v>
      </c>
      <c r="K38" s="7">
        <v>1</v>
      </c>
      <c r="L38" s="7">
        <v>1</v>
      </c>
      <c r="M38" s="7">
        <v>2</v>
      </c>
      <c r="N38" s="7">
        <v>2</v>
      </c>
      <c r="O38" s="7">
        <v>2</v>
      </c>
      <c r="P38" s="7">
        <v>1</v>
      </c>
      <c r="Q38" s="7">
        <v>2</v>
      </c>
      <c r="R38" s="7">
        <v>1</v>
      </c>
      <c r="S38" s="7">
        <v>1</v>
      </c>
      <c r="T38" s="7">
        <v>2</v>
      </c>
      <c r="U38" s="7">
        <v>1</v>
      </c>
      <c r="V38" s="7"/>
      <c r="W38" s="7">
        <v>2</v>
      </c>
      <c r="X38" s="26">
        <v>3</v>
      </c>
      <c r="Y38" s="26">
        <v>1</v>
      </c>
      <c r="Z38" s="26">
        <v>1</v>
      </c>
      <c r="AA38" s="26">
        <v>1</v>
      </c>
      <c r="AB38" s="26">
        <v>2</v>
      </c>
      <c r="AC38" s="26">
        <v>1</v>
      </c>
      <c r="AD38" s="26">
        <v>1</v>
      </c>
      <c r="AE38" s="26">
        <v>1</v>
      </c>
      <c r="AF38" s="26">
        <v>2</v>
      </c>
      <c r="AG38" s="26">
        <v>1</v>
      </c>
      <c r="AH38" s="7">
        <v>2</v>
      </c>
      <c r="AI38" s="7">
        <v>2</v>
      </c>
      <c r="AJ38" s="7">
        <v>2</v>
      </c>
      <c r="AK38" s="7">
        <v>2</v>
      </c>
      <c r="AL38" s="7">
        <v>3</v>
      </c>
      <c r="AM38" s="7">
        <v>1</v>
      </c>
      <c r="AN38" s="7">
        <v>4</v>
      </c>
      <c r="AO38" s="7">
        <v>2</v>
      </c>
      <c r="AP38" s="7">
        <v>1</v>
      </c>
      <c r="AQ38" s="7">
        <v>2</v>
      </c>
      <c r="AR38" s="7">
        <v>2</v>
      </c>
      <c r="AS38" s="7">
        <v>4</v>
      </c>
      <c r="AT38" s="7">
        <v>1</v>
      </c>
      <c r="AU38" s="7">
        <v>2</v>
      </c>
      <c r="AV38" s="12">
        <v>1</v>
      </c>
      <c r="AW38" s="7">
        <v>3</v>
      </c>
      <c r="AX38" s="7">
        <v>3</v>
      </c>
      <c r="AY38" s="7">
        <v>1</v>
      </c>
      <c r="AZ38" s="7">
        <v>1</v>
      </c>
      <c r="BA38" s="7">
        <v>1</v>
      </c>
      <c r="BB38" s="12">
        <v>1</v>
      </c>
      <c r="BC38" s="26">
        <v>1</v>
      </c>
      <c r="BD38" s="26">
        <v>2</v>
      </c>
      <c r="BE38" s="26">
        <v>1</v>
      </c>
      <c r="BF38" s="26">
        <v>2</v>
      </c>
      <c r="BG38" s="26">
        <v>1</v>
      </c>
      <c r="BH38" s="26">
        <v>1</v>
      </c>
      <c r="BI38" s="26">
        <v>1</v>
      </c>
      <c r="BJ38" s="7">
        <v>2</v>
      </c>
      <c r="BK38" s="26">
        <v>2</v>
      </c>
      <c r="BL38" s="26">
        <v>1</v>
      </c>
      <c r="BM38" s="26">
        <v>3</v>
      </c>
      <c r="BN38" s="26">
        <v>1</v>
      </c>
      <c r="BO38" s="26">
        <v>2</v>
      </c>
      <c r="BP38" s="4">
        <v>1</v>
      </c>
      <c r="BQ38" s="4">
        <v>1</v>
      </c>
      <c r="BR38" s="4">
        <v>1</v>
      </c>
      <c r="BS38" s="4">
        <v>2</v>
      </c>
      <c r="BT38" s="4">
        <v>1</v>
      </c>
      <c r="BU38" s="4">
        <v>1</v>
      </c>
      <c r="BV38" s="4">
        <v>1</v>
      </c>
      <c r="BW38" s="4">
        <v>1</v>
      </c>
      <c r="BX38" s="4">
        <v>4</v>
      </c>
      <c r="BY38" s="4">
        <v>2</v>
      </c>
      <c r="BZ38" s="4">
        <v>1</v>
      </c>
      <c r="CA38" s="4">
        <v>1</v>
      </c>
      <c r="CB38" s="4">
        <v>1</v>
      </c>
      <c r="CC38" s="4">
        <v>1</v>
      </c>
      <c r="CD38" s="4">
        <v>1</v>
      </c>
      <c r="CE38" s="4">
        <v>1</v>
      </c>
      <c r="CF38" s="4">
        <v>1</v>
      </c>
      <c r="CG38" s="4"/>
      <c r="CH38" s="4">
        <v>1</v>
      </c>
      <c r="CI38" s="14">
        <v>1</v>
      </c>
      <c r="CJ38" s="14">
        <v>1</v>
      </c>
      <c r="CK38" s="14">
        <v>4</v>
      </c>
      <c r="CL38" s="14">
        <v>2</v>
      </c>
      <c r="CM38" s="14">
        <v>1</v>
      </c>
      <c r="CN38" s="14">
        <v>5</v>
      </c>
      <c r="CO38" s="14">
        <v>3</v>
      </c>
      <c r="CP38" s="7">
        <v>1</v>
      </c>
      <c r="CQ38" s="14">
        <v>2</v>
      </c>
      <c r="CR38" s="14">
        <v>1</v>
      </c>
      <c r="CS38" s="14">
        <v>1</v>
      </c>
      <c r="CT38" s="14">
        <v>2</v>
      </c>
      <c r="CU38" s="14">
        <v>3</v>
      </c>
      <c r="CV38" s="4">
        <v>5</v>
      </c>
      <c r="CW38" s="4">
        <v>5</v>
      </c>
      <c r="CX38" s="4">
        <v>2</v>
      </c>
      <c r="CY38" s="4">
        <v>1</v>
      </c>
      <c r="CZ38" s="4">
        <v>1</v>
      </c>
      <c r="DA38" s="4">
        <v>1</v>
      </c>
      <c r="DB38" s="7">
        <v>2</v>
      </c>
      <c r="DC38" s="7">
        <v>2</v>
      </c>
      <c r="DD38" s="7">
        <v>2</v>
      </c>
      <c r="DE38" s="7">
        <v>3</v>
      </c>
      <c r="DF38" s="7">
        <v>4</v>
      </c>
      <c r="DG38" s="7">
        <v>4</v>
      </c>
      <c r="DH38" s="7">
        <v>1</v>
      </c>
      <c r="DI38" s="14">
        <v>1</v>
      </c>
      <c r="DJ38" s="7">
        <v>1</v>
      </c>
      <c r="DK38" s="7">
        <v>1</v>
      </c>
      <c r="DL38" s="7">
        <v>2</v>
      </c>
      <c r="DM38" s="7">
        <v>1</v>
      </c>
      <c r="DN38" s="7">
        <v>1</v>
      </c>
      <c r="DO38" s="7">
        <v>2</v>
      </c>
      <c r="DP38" s="14">
        <v>2</v>
      </c>
      <c r="DQ38" s="7">
        <v>1</v>
      </c>
      <c r="DR38" s="7">
        <v>1</v>
      </c>
      <c r="DS38" s="7">
        <v>3</v>
      </c>
      <c r="DT38" s="12">
        <v>5</v>
      </c>
      <c r="DU38" s="4">
        <v>2</v>
      </c>
      <c r="DV38" s="4">
        <v>2</v>
      </c>
      <c r="DW38" s="4">
        <v>1</v>
      </c>
      <c r="DX38" s="4">
        <v>1</v>
      </c>
      <c r="DY38" s="4">
        <v>1</v>
      </c>
      <c r="DZ38" s="4">
        <v>2</v>
      </c>
      <c r="EA38" s="4">
        <v>1</v>
      </c>
    </row>
    <row r="39" spans="1:131" x14ac:dyDescent="0.3">
      <c r="A39" s="55" t="s">
        <v>418</v>
      </c>
      <c r="B39" s="7">
        <v>3</v>
      </c>
      <c r="C39" s="7">
        <v>5</v>
      </c>
      <c r="D39" s="7">
        <v>3</v>
      </c>
      <c r="E39" s="7">
        <v>4</v>
      </c>
      <c r="F39" s="7">
        <v>3</v>
      </c>
      <c r="G39" s="7">
        <v>3</v>
      </c>
      <c r="H39" s="7">
        <v>3</v>
      </c>
      <c r="I39" s="7"/>
      <c r="J39" s="7"/>
      <c r="K39" s="7"/>
      <c r="L39" s="7">
        <v>2</v>
      </c>
      <c r="M39" s="7"/>
      <c r="N39" s="7">
        <v>2</v>
      </c>
      <c r="O39" s="7">
        <v>4</v>
      </c>
      <c r="P39" s="7">
        <v>3</v>
      </c>
      <c r="Q39" s="7"/>
      <c r="R39" s="7"/>
      <c r="S39" s="7">
        <v>1</v>
      </c>
      <c r="T39" s="7"/>
      <c r="U39" s="7"/>
      <c r="V39" s="7"/>
      <c r="W39" s="7">
        <v>2</v>
      </c>
      <c r="X39" s="26">
        <v>3</v>
      </c>
      <c r="Y39" s="26">
        <v>1</v>
      </c>
      <c r="Z39" s="26">
        <v>1</v>
      </c>
      <c r="AA39" s="26">
        <v>1</v>
      </c>
      <c r="AB39" s="26">
        <v>1</v>
      </c>
      <c r="AC39" s="26">
        <v>2</v>
      </c>
      <c r="AD39" s="26">
        <v>1</v>
      </c>
      <c r="AE39" s="26"/>
      <c r="AF39" s="26">
        <v>3</v>
      </c>
      <c r="AG39" s="26">
        <v>5</v>
      </c>
      <c r="AH39" s="7"/>
      <c r="AI39" s="7">
        <v>1</v>
      </c>
      <c r="AJ39" s="7">
        <v>2</v>
      </c>
      <c r="AK39" s="7">
        <v>2</v>
      </c>
      <c r="AL39" s="7">
        <v>3</v>
      </c>
      <c r="AM39" s="7"/>
      <c r="AN39" s="7">
        <v>2</v>
      </c>
      <c r="AO39" s="7"/>
      <c r="AP39" s="7"/>
      <c r="AQ39" s="7"/>
      <c r="AR39" s="7"/>
      <c r="AS39" s="7">
        <v>3</v>
      </c>
      <c r="AT39" s="7"/>
      <c r="AU39" s="7"/>
      <c r="AV39" s="12">
        <v>1</v>
      </c>
      <c r="AW39" s="7">
        <v>3</v>
      </c>
      <c r="AX39" s="7">
        <v>4</v>
      </c>
      <c r="AY39" s="7">
        <v>4</v>
      </c>
      <c r="AZ39" s="7">
        <v>3</v>
      </c>
      <c r="BA39" s="7">
        <v>3</v>
      </c>
      <c r="BB39" s="12">
        <v>2</v>
      </c>
      <c r="BC39" s="26">
        <v>5</v>
      </c>
      <c r="BD39" s="26">
        <v>4</v>
      </c>
      <c r="BE39" s="26">
        <v>5</v>
      </c>
      <c r="BF39" s="26"/>
      <c r="BG39" s="26"/>
      <c r="BH39" s="26">
        <v>5</v>
      </c>
      <c r="BI39" s="26"/>
      <c r="BJ39" s="7"/>
      <c r="BK39" s="26">
        <v>2</v>
      </c>
      <c r="BL39" s="26">
        <v>3</v>
      </c>
      <c r="BM39" s="26"/>
      <c r="BN39" s="26">
        <v>2</v>
      </c>
      <c r="BO39" s="26">
        <v>1</v>
      </c>
      <c r="BP39" s="4">
        <v>3</v>
      </c>
      <c r="BQ39" s="4">
        <v>1</v>
      </c>
      <c r="BR39" s="4"/>
      <c r="BS39" s="4">
        <v>2</v>
      </c>
      <c r="BT39" s="4"/>
      <c r="BU39" s="4"/>
      <c r="BV39" s="4"/>
      <c r="BW39" s="4">
        <v>3</v>
      </c>
      <c r="BX39" s="4">
        <v>3</v>
      </c>
      <c r="BY39" s="4"/>
      <c r="BZ39" s="4"/>
      <c r="CA39" s="4"/>
      <c r="CB39" s="4">
        <v>3</v>
      </c>
      <c r="CC39" s="4">
        <v>2</v>
      </c>
      <c r="CD39" s="4">
        <v>2</v>
      </c>
      <c r="CE39" s="4">
        <v>4</v>
      </c>
      <c r="CF39" s="4">
        <v>3</v>
      </c>
      <c r="CG39" s="4">
        <v>3</v>
      </c>
      <c r="CH39" s="4">
        <v>2</v>
      </c>
      <c r="CI39" s="14"/>
      <c r="CJ39" s="14">
        <v>2</v>
      </c>
      <c r="CK39" s="14">
        <v>3</v>
      </c>
      <c r="CL39" s="14">
        <v>3</v>
      </c>
      <c r="CM39" s="14">
        <v>2</v>
      </c>
      <c r="CN39" s="14">
        <v>2</v>
      </c>
      <c r="CO39" s="14">
        <v>2</v>
      </c>
      <c r="CP39" s="7"/>
      <c r="CQ39" s="14">
        <v>4</v>
      </c>
      <c r="CR39" s="14"/>
      <c r="CS39" s="14">
        <v>3</v>
      </c>
      <c r="CT39" s="14">
        <v>3</v>
      </c>
      <c r="CU39" s="14">
        <v>5</v>
      </c>
      <c r="CV39" s="4">
        <v>4</v>
      </c>
      <c r="CW39" s="4">
        <v>4</v>
      </c>
      <c r="CX39" s="4">
        <v>2</v>
      </c>
      <c r="CY39" s="4">
        <v>4</v>
      </c>
      <c r="CZ39" s="4">
        <v>5</v>
      </c>
      <c r="DA39" s="4">
        <v>5</v>
      </c>
      <c r="DB39" s="7">
        <v>4</v>
      </c>
      <c r="DC39" s="7"/>
      <c r="DD39" s="7">
        <v>4</v>
      </c>
      <c r="DE39" s="7">
        <v>4</v>
      </c>
      <c r="DF39" s="7"/>
      <c r="DG39" s="7">
        <v>4</v>
      </c>
      <c r="DH39" s="7">
        <v>3</v>
      </c>
      <c r="DI39" s="14"/>
      <c r="DJ39" s="7"/>
      <c r="DK39" s="7">
        <v>4</v>
      </c>
      <c r="DL39" s="7">
        <v>4</v>
      </c>
      <c r="DM39" s="7"/>
      <c r="DN39" s="7">
        <v>2</v>
      </c>
      <c r="DO39" s="7">
        <v>1</v>
      </c>
      <c r="DP39" s="14">
        <v>3</v>
      </c>
      <c r="DQ39" s="7">
        <v>4</v>
      </c>
      <c r="DR39" s="7">
        <v>3</v>
      </c>
      <c r="DS39" s="7">
        <v>5</v>
      </c>
      <c r="DT39" s="12">
        <v>5</v>
      </c>
      <c r="DU39" s="4">
        <v>4</v>
      </c>
      <c r="DV39" s="4">
        <v>5</v>
      </c>
      <c r="DW39" s="4">
        <v>5</v>
      </c>
      <c r="DX39" s="4"/>
      <c r="DY39" s="4"/>
      <c r="DZ39" s="4">
        <v>2</v>
      </c>
      <c r="EA39" s="4">
        <v>2</v>
      </c>
    </row>
    <row r="40" spans="1:131" x14ac:dyDescent="0.3">
      <c r="A40" s="55" t="s">
        <v>419</v>
      </c>
      <c r="B40" s="7">
        <v>5</v>
      </c>
      <c r="C40" s="7">
        <v>4</v>
      </c>
      <c r="D40" s="7">
        <v>3</v>
      </c>
      <c r="E40" s="7">
        <v>4</v>
      </c>
      <c r="F40" s="7">
        <v>4</v>
      </c>
      <c r="G40" s="7">
        <v>4</v>
      </c>
      <c r="H40" s="7">
        <v>4</v>
      </c>
      <c r="I40" s="7"/>
      <c r="J40" s="7"/>
      <c r="K40" s="7"/>
      <c r="L40" s="7">
        <v>4</v>
      </c>
      <c r="M40" s="7">
        <v>3</v>
      </c>
      <c r="N40" s="7">
        <v>1</v>
      </c>
      <c r="O40" s="7">
        <v>4</v>
      </c>
      <c r="P40" s="7">
        <v>4</v>
      </c>
      <c r="Q40" s="7"/>
      <c r="R40" s="7">
        <v>5</v>
      </c>
      <c r="S40" s="7">
        <v>1</v>
      </c>
      <c r="T40" s="7"/>
      <c r="U40" s="7">
        <v>5</v>
      </c>
      <c r="V40" s="7"/>
      <c r="W40" s="7">
        <v>1</v>
      </c>
      <c r="X40" s="26">
        <v>4</v>
      </c>
      <c r="Y40" s="26">
        <v>2</v>
      </c>
      <c r="Z40" s="26">
        <v>1</v>
      </c>
      <c r="AA40" s="26">
        <v>5</v>
      </c>
      <c r="AB40" s="26">
        <v>5</v>
      </c>
      <c r="AC40" s="26">
        <v>3</v>
      </c>
      <c r="AD40" s="26">
        <v>5</v>
      </c>
      <c r="AE40" s="26">
        <v>5</v>
      </c>
      <c r="AF40" s="26">
        <v>3</v>
      </c>
      <c r="AG40" s="26">
        <v>5</v>
      </c>
      <c r="AH40" s="7"/>
      <c r="AI40" s="7">
        <v>3</v>
      </c>
      <c r="AJ40" s="7">
        <v>4</v>
      </c>
      <c r="AK40" s="7">
        <v>2</v>
      </c>
      <c r="AL40" s="7">
        <v>4</v>
      </c>
      <c r="AM40" s="7">
        <v>4</v>
      </c>
      <c r="AN40" s="7">
        <v>3</v>
      </c>
      <c r="AO40" s="7"/>
      <c r="AP40" s="7"/>
      <c r="AQ40" s="7"/>
      <c r="AR40" s="7">
        <v>2</v>
      </c>
      <c r="AS40" s="7"/>
      <c r="AT40" s="7"/>
      <c r="AU40" s="7"/>
      <c r="AV40" s="12">
        <v>3</v>
      </c>
      <c r="AW40" s="7">
        <v>3</v>
      </c>
      <c r="AX40" s="7">
        <v>4</v>
      </c>
      <c r="AY40" s="7">
        <v>5</v>
      </c>
      <c r="AZ40" s="7">
        <v>5</v>
      </c>
      <c r="BA40" s="7">
        <v>3</v>
      </c>
      <c r="BB40" s="12">
        <v>5</v>
      </c>
      <c r="BC40" s="26">
        <v>5</v>
      </c>
      <c r="BD40" s="26">
        <v>5</v>
      </c>
      <c r="BE40" s="26">
        <v>5</v>
      </c>
      <c r="BF40" s="26">
        <v>3</v>
      </c>
      <c r="BG40" s="26">
        <v>4</v>
      </c>
      <c r="BH40" s="26">
        <v>1</v>
      </c>
      <c r="BI40" s="26">
        <v>5</v>
      </c>
      <c r="BJ40" s="7">
        <v>5</v>
      </c>
      <c r="BK40" s="26">
        <v>5</v>
      </c>
      <c r="BL40" s="26">
        <v>5</v>
      </c>
      <c r="BM40" s="26">
        <v>5</v>
      </c>
      <c r="BN40" s="26">
        <v>5</v>
      </c>
      <c r="BO40" s="26">
        <v>5</v>
      </c>
      <c r="BP40" s="4">
        <v>4</v>
      </c>
      <c r="BQ40" s="4">
        <v>4</v>
      </c>
      <c r="BR40" s="4">
        <v>5</v>
      </c>
      <c r="BS40" s="4">
        <v>4</v>
      </c>
      <c r="BT40" s="4">
        <v>5</v>
      </c>
      <c r="BU40" s="4">
        <v>3</v>
      </c>
      <c r="BV40" s="4">
        <v>3</v>
      </c>
      <c r="BW40" s="4">
        <v>3</v>
      </c>
      <c r="BX40" s="4">
        <v>4</v>
      </c>
      <c r="BY40" s="4">
        <v>3</v>
      </c>
      <c r="BZ40" s="4"/>
      <c r="CA40" s="4">
        <v>3</v>
      </c>
      <c r="CB40" s="4">
        <v>2</v>
      </c>
      <c r="CC40" s="4">
        <v>3</v>
      </c>
      <c r="CD40" s="4">
        <v>3</v>
      </c>
      <c r="CE40" s="4">
        <v>4</v>
      </c>
      <c r="CF40" s="4">
        <v>4</v>
      </c>
      <c r="CG40" s="4">
        <v>3</v>
      </c>
      <c r="CH40" s="4">
        <v>4</v>
      </c>
      <c r="CI40" s="14"/>
      <c r="CJ40" s="14">
        <v>3</v>
      </c>
      <c r="CK40" s="14">
        <v>4</v>
      </c>
      <c r="CL40" s="14">
        <v>2</v>
      </c>
      <c r="CM40" s="14"/>
      <c r="CN40" s="14">
        <v>3</v>
      </c>
      <c r="CO40" s="14">
        <v>1</v>
      </c>
      <c r="CP40" s="7"/>
      <c r="CQ40" s="14"/>
      <c r="CR40" s="14"/>
      <c r="CS40" s="14">
        <v>3</v>
      </c>
      <c r="CT40" s="14">
        <v>4</v>
      </c>
      <c r="CU40" s="14">
        <v>4</v>
      </c>
      <c r="CV40" s="4">
        <v>4</v>
      </c>
      <c r="CW40" s="4">
        <v>4</v>
      </c>
      <c r="CX40" s="4">
        <v>5</v>
      </c>
      <c r="CY40" s="4">
        <v>5</v>
      </c>
      <c r="CZ40" s="4">
        <v>5</v>
      </c>
      <c r="DA40" s="4">
        <v>5</v>
      </c>
      <c r="DB40" s="7">
        <v>3</v>
      </c>
      <c r="DC40" s="7"/>
      <c r="DD40" s="7">
        <v>3</v>
      </c>
      <c r="DE40" s="7">
        <v>4</v>
      </c>
      <c r="DF40" s="7"/>
      <c r="DG40" s="7"/>
      <c r="DH40" s="7">
        <v>3</v>
      </c>
      <c r="DI40" s="14">
        <v>5</v>
      </c>
      <c r="DJ40" s="7"/>
      <c r="DK40" s="7">
        <v>4</v>
      </c>
      <c r="DL40" s="7">
        <v>5</v>
      </c>
      <c r="DM40" s="7">
        <v>1</v>
      </c>
      <c r="DN40" s="7">
        <v>1</v>
      </c>
      <c r="DO40" s="7"/>
      <c r="DP40" s="14">
        <v>4</v>
      </c>
      <c r="DQ40" s="7">
        <v>4</v>
      </c>
      <c r="DR40" s="7">
        <v>3</v>
      </c>
      <c r="DS40" s="7">
        <v>4</v>
      </c>
      <c r="DT40" s="12"/>
      <c r="DU40" s="4">
        <v>5</v>
      </c>
      <c r="DV40" s="4">
        <v>3</v>
      </c>
      <c r="DW40" s="4"/>
      <c r="DX40" s="4"/>
      <c r="DY40" s="4">
        <v>4</v>
      </c>
      <c r="DZ40" s="4">
        <v>5</v>
      </c>
      <c r="EA40" s="4">
        <v>5</v>
      </c>
    </row>
    <row r="41" spans="1:131" x14ac:dyDescent="0.3">
      <c r="A41" s="55" t="s">
        <v>420</v>
      </c>
      <c r="B41" s="7">
        <v>5</v>
      </c>
      <c r="C41" s="7"/>
      <c r="D41" s="7">
        <v>4</v>
      </c>
      <c r="E41" s="7">
        <v>4</v>
      </c>
      <c r="F41" s="7">
        <v>4</v>
      </c>
      <c r="G41" s="7">
        <v>4</v>
      </c>
      <c r="H41" s="7">
        <v>4</v>
      </c>
      <c r="I41" s="7"/>
      <c r="J41" s="7"/>
      <c r="K41" s="7">
        <v>5</v>
      </c>
      <c r="L41" s="7"/>
      <c r="M41" s="7">
        <v>5</v>
      </c>
      <c r="N41" s="7"/>
      <c r="O41" s="7"/>
      <c r="P41" s="7"/>
      <c r="Q41" s="7">
        <v>3</v>
      </c>
      <c r="R41" s="7">
        <v>5</v>
      </c>
      <c r="S41" s="7">
        <v>5</v>
      </c>
      <c r="T41" s="7">
        <v>4</v>
      </c>
      <c r="U41" s="7">
        <v>5</v>
      </c>
      <c r="V41" s="7"/>
      <c r="W41" s="7"/>
      <c r="X41" s="26">
        <v>3</v>
      </c>
      <c r="Y41" s="26">
        <v>4</v>
      </c>
      <c r="Z41" s="26">
        <v>3</v>
      </c>
      <c r="AA41" s="26">
        <v>4</v>
      </c>
      <c r="AB41" s="26">
        <v>5</v>
      </c>
      <c r="AC41" s="26">
        <v>1</v>
      </c>
      <c r="AD41" s="26">
        <v>5</v>
      </c>
      <c r="AE41" s="26">
        <v>1</v>
      </c>
      <c r="AF41" s="26">
        <v>5</v>
      </c>
      <c r="AG41" s="26">
        <v>3</v>
      </c>
      <c r="AH41" s="7">
        <v>4</v>
      </c>
      <c r="AI41" s="7">
        <v>3</v>
      </c>
      <c r="AJ41" s="7"/>
      <c r="AK41" s="7">
        <v>4</v>
      </c>
      <c r="AL41" s="7">
        <v>3</v>
      </c>
      <c r="AM41" s="7"/>
      <c r="AN41" s="7">
        <v>4</v>
      </c>
      <c r="AO41" s="7">
        <v>5</v>
      </c>
      <c r="AP41" s="7">
        <v>5</v>
      </c>
      <c r="AQ41" s="7">
        <v>5</v>
      </c>
      <c r="AR41" s="7">
        <v>4</v>
      </c>
      <c r="AS41" s="7"/>
      <c r="AT41" s="7">
        <v>4</v>
      </c>
      <c r="AU41" s="7">
        <v>5</v>
      </c>
      <c r="AV41" s="12"/>
      <c r="AW41" s="7">
        <v>4</v>
      </c>
      <c r="AX41" s="7"/>
      <c r="AY41" s="7">
        <v>5</v>
      </c>
      <c r="AZ41" s="7">
        <v>5</v>
      </c>
      <c r="BA41" s="7">
        <v>4</v>
      </c>
      <c r="BB41" s="12">
        <v>5</v>
      </c>
      <c r="BC41" s="26"/>
      <c r="BD41" s="26"/>
      <c r="BE41" s="26">
        <v>5</v>
      </c>
      <c r="BF41" s="26">
        <v>5</v>
      </c>
      <c r="BG41" s="26">
        <v>3</v>
      </c>
      <c r="BH41" s="26"/>
      <c r="BI41" s="26">
        <v>4</v>
      </c>
      <c r="BJ41" s="7"/>
      <c r="BK41" s="26">
        <v>1</v>
      </c>
      <c r="BL41" s="26">
        <v>5</v>
      </c>
      <c r="BM41" s="26">
        <v>5</v>
      </c>
      <c r="BN41" s="26">
        <v>5</v>
      </c>
      <c r="BO41" s="26">
        <v>5</v>
      </c>
      <c r="BP41" s="4">
        <v>5</v>
      </c>
      <c r="BQ41" s="4">
        <v>5</v>
      </c>
      <c r="BR41" s="4">
        <v>5</v>
      </c>
      <c r="BS41" s="4">
        <v>4</v>
      </c>
      <c r="BT41" s="4">
        <v>3</v>
      </c>
      <c r="BU41" s="4">
        <v>5</v>
      </c>
      <c r="BV41" s="4">
        <v>5</v>
      </c>
      <c r="BW41" s="4">
        <f>BV39</f>
        <v>0</v>
      </c>
      <c r="BX41" s="4">
        <v>3</v>
      </c>
      <c r="BY41" s="4">
        <v>3</v>
      </c>
      <c r="BZ41" s="4">
        <v>5</v>
      </c>
      <c r="CA41" s="4">
        <v>4</v>
      </c>
      <c r="CB41" s="4">
        <v>5</v>
      </c>
      <c r="CC41" s="4">
        <v>5</v>
      </c>
      <c r="CD41" s="4">
        <v>4</v>
      </c>
      <c r="CE41" s="4">
        <v>4</v>
      </c>
      <c r="CF41" s="4">
        <v>4</v>
      </c>
      <c r="CG41" s="4">
        <v>5</v>
      </c>
      <c r="CH41" s="4">
        <v>5</v>
      </c>
      <c r="CI41" s="14">
        <v>5</v>
      </c>
      <c r="CJ41" s="14">
        <v>5</v>
      </c>
      <c r="CK41" s="14"/>
      <c r="CL41" s="14">
        <v>4</v>
      </c>
      <c r="CM41" s="14">
        <v>5</v>
      </c>
      <c r="CN41" s="14">
        <v>5</v>
      </c>
      <c r="CO41" s="14">
        <v>4</v>
      </c>
      <c r="CP41" s="7"/>
      <c r="CQ41" s="14">
        <v>5</v>
      </c>
      <c r="CR41" s="14"/>
      <c r="CS41" s="14">
        <v>4</v>
      </c>
      <c r="CT41" s="14"/>
      <c r="CU41" s="14"/>
      <c r="CV41" s="4">
        <v>5</v>
      </c>
      <c r="CW41" s="4">
        <v>5</v>
      </c>
      <c r="CX41" s="4">
        <v>5</v>
      </c>
      <c r="CY41" s="4">
        <v>4</v>
      </c>
      <c r="CZ41" s="4">
        <v>4</v>
      </c>
      <c r="DA41" s="4">
        <v>4</v>
      </c>
      <c r="DB41" s="7">
        <v>3</v>
      </c>
      <c r="DC41" s="7">
        <v>5</v>
      </c>
      <c r="DD41" s="7">
        <v>3</v>
      </c>
      <c r="DE41" s="7">
        <v>4</v>
      </c>
      <c r="DF41" s="7">
        <v>4</v>
      </c>
      <c r="DG41" s="7">
        <v>5</v>
      </c>
      <c r="DH41" s="7">
        <v>4</v>
      </c>
      <c r="DI41" s="14">
        <v>5</v>
      </c>
      <c r="DJ41" s="7">
        <v>5</v>
      </c>
      <c r="DK41" s="7">
        <v>4</v>
      </c>
      <c r="DL41" s="7">
        <v>5</v>
      </c>
      <c r="DM41" s="7">
        <v>1</v>
      </c>
      <c r="DN41" s="7">
        <v>3</v>
      </c>
      <c r="DO41" s="7">
        <v>4</v>
      </c>
      <c r="DP41" s="14">
        <v>4</v>
      </c>
      <c r="DQ41" s="7">
        <v>5</v>
      </c>
      <c r="DR41" s="7"/>
      <c r="DS41" s="7"/>
      <c r="DT41" s="12">
        <v>5</v>
      </c>
      <c r="DU41" s="4"/>
      <c r="DV41" s="4">
        <v>5</v>
      </c>
      <c r="DW41" s="4">
        <v>5</v>
      </c>
      <c r="DX41" s="4">
        <v>5</v>
      </c>
      <c r="DY41" s="4">
        <v>5</v>
      </c>
      <c r="DZ41" s="4">
        <v>5</v>
      </c>
      <c r="EA41" s="4">
        <v>3</v>
      </c>
    </row>
    <row r="42" spans="1:131" ht="28.8" x14ac:dyDescent="0.3">
      <c r="A42" s="55" t="s">
        <v>421</v>
      </c>
      <c r="B42" s="7">
        <v>3</v>
      </c>
      <c r="C42" s="7">
        <v>2</v>
      </c>
      <c r="D42" s="7">
        <v>4</v>
      </c>
      <c r="E42" s="7">
        <v>4</v>
      </c>
      <c r="F42" s="7">
        <v>4</v>
      </c>
      <c r="G42" s="7">
        <v>4</v>
      </c>
      <c r="H42" s="7">
        <v>3</v>
      </c>
      <c r="I42" s="7">
        <v>3</v>
      </c>
      <c r="J42" s="7">
        <v>4</v>
      </c>
      <c r="K42" s="7">
        <v>2</v>
      </c>
      <c r="L42" s="7">
        <v>3</v>
      </c>
      <c r="M42" s="7">
        <v>4</v>
      </c>
      <c r="N42" s="7">
        <v>3</v>
      </c>
      <c r="O42" s="7">
        <v>3</v>
      </c>
      <c r="P42" s="7">
        <v>3</v>
      </c>
      <c r="Q42" s="7">
        <v>4</v>
      </c>
      <c r="R42" s="7">
        <v>1</v>
      </c>
      <c r="S42" s="7">
        <v>1</v>
      </c>
      <c r="T42" s="7">
        <v>5</v>
      </c>
      <c r="U42" s="7">
        <v>1</v>
      </c>
      <c r="V42" s="7">
        <v>3</v>
      </c>
      <c r="W42" s="7">
        <v>4</v>
      </c>
      <c r="X42" s="26">
        <v>3</v>
      </c>
      <c r="Y42" s="26">
        <v>2</v>
      </c>
      <c r="Z42" s="26">
        <v>3</v>
      </c>
      <c r="AA42" s="26">
        <v>4</v>
      </c>
      <c r="AB42" s="26">
        <v>4</v>
      </c>
      <c r="AC42" s="26">
        <v>3</v>
      </c>
      <c r="AD42" s="26">
        <v>1</v>
      </c>
      <c r="AE42" s="26">
        <v>1</v>
      </c>
      <c r="AF42" s="26">
        <v>4</v>
      </c>
      <c r="AG42" s="26">
        <v>4</v>
      </c>
      <c r="AH42" s="7">
        <v>3</v>
      </c>
      <c r="AI42" s="7">
        <v>3</v>
      </c>
      <c r="AJ42" s="7">
        <v>4</v>
      </c>
      <c r="AK42" s="7">
        <v>3</v>
      </c>
      <c r="AL42" s="7">
        <v>4</v>
      </c>
      <c r="AM42" s="7">
        <v>4</v>
      </c>
      <c r="AN42" s="7">
        <v>5</v>
      </c>
      <c r="AO42" s="7">
        <v>4</v>
      </c>
      <c r="AP42" s="7">
        <v>3</v>
      </c>
      <c r="AQ42" s="7">
        <v>3</v>
      </c>
      <c r="AR42" s="7">
        <v>3</v>
      </c>
      <c r="AS42" s="7">
        <v>3</v>
      </c>
      <c r="AT42" s="7">
        <v>4</v>
      </c>
      <c r="AU42" s="7">
        <v>3</v>
      </c>
      <c r="AV42" s="12">
        <v>4</v>
      </c>
      <c r="AW42" s="7">
        <v>5</v>
      </c>
      <c r="AX42" s="7">
        <v>5</v>
      </c>
      <c r="AY42" s="7">
        <v>4</v>
      </c>
      <c r="AZ42" s="7">
        <v>4</v>
      </c>
      <c r="BA42" s="7">
        <v>3</v>
      </c>
      <c r="BB42" s="12">
        <v>5</v>
      </c>
      <c r="BC42" s="26">
        <v>5</v>
      </c>
      <c r="BD42" s="26">
        <v>5</v>
      </c>
      <c r="BE42" s="26">
        <v>5</v>
      </c>
      <c r="BF42" s="26">
        <v>4</v>
      </c>
      <c r="BG42" s="26">
        <v>1</v>
      </c>
      <c r="BH42" s="26">
        <v>5</v>
      </c>
      <c r="BI42" s="26">
        <v>3</v>
      </c>
      <c r="BJ42" s="7">
        <v>3</v>
      </c>
      <c r="BK42" s="26">
        <v>4</v>
      </c>
      <c r="BL42" s="26">
        <v>1</v>
      </c>
      <c r="BM42" s="26">
        <v>5</v>
      </c>
      <c r="BN42" s="26">
        <v>3</v>
      </c>
      <c r="BO42" s="26">
        <v>2</v>
      </c>
      <c r="BP42" s="4">
        <v>5</v>
      </c>
      <c r="BQ42" s="4">
        <v>2</v>
      </c>
      <c r="BR42" s="4">
        <v>2</v>
      </c>
      <c r="BS42" s="4">
        <v>2</v>
      </c>
      <c r="BT42" s="4">
        <v>1</v>
      </c>
      <c r="BU42" s="4">
        <v>1</v>
      </c>
      <c r="BV42" s="4">
        <v>1</v>
      </c>
      <c r="BW42" s="4">
        <v>3</v>
      </c>
      <c r="BX42" s="4">
        <v>1</v>
      </c>
      <c r="BY42" s="4">
        <v>2</v>
      </c>
      <c r="BZ42" s="4">
        <v>4</v>
      </c>
      <c r="CA42" s="4">
        <v>2</v>
      </c>
      <c r="CB42" s="4">
        <v>3</v>
      </c>
      <c r="CC42" s="4">
        <v>2</v>
      </c>
      <c r="CD42" s="4">
        <v>4</v>
      </c>
      <c r="CE42" s="4">
        <v>4</v>
      </c>
      <c r="CF42" s="4">
        <v>4</v>
      </c>
      <c r="CG42" s="4">
        <v>5</v>
      </c>
      <c r="CH42" s="4">
        <v>2</v>
      </c>
      <c r="CI42" s="14">
        <v>4</v>
      </c>
      <c r="CJ42" s="14">
        <v>4</v>
      </c>
      <c r="CK42" s="14">
        <v>4</v>
      </c>
      <c r="CL42" s="14">
        <v>3</v>
      </c>
      <c r="CM42" s="14">
        <v>1</v>
      </c>
      <c r="CN42" s="14">
        <v>4</v>
      </c>
      <c r="CO42" s="14">
        <v>3</v>
      </c>
      <c r="CP42" s="7">
        <v>3</v>
      </c>
      <c r="CQ42" s="14">
        <v>4</v>
      </c>
      <c r="CR42" s="14">
        <v>3</v>
      </c>
      <c r="CS42" s="14">
        <v>3</v>
      </c>
      <c r="CT42" s="14">
        <v>5</v>
      </c>
      <c r="CU42" s="14">
        <v>5</v>
      </c>
      <c r="CV42" s="4">
        <v>5</v>
      </c>
      <c r="CW42" s="4">
        <v>5</v>
      </c>
      <c r="CX42" s="4">
        <v>4</v>
      </c>
      <c r="CY42" s="4">
        <v>4</v>
      </c>
      <c r="CZ42" s="4">
        <v>3</v>
      </c>
      <c r="DA42" s="4">
        <v>3</v>
      </c>
      <c r="DB42" s="7">
        <v>3</v>
      </c>
      <c r="DC42" s="7">
        <v>4</v>
      </c>
      <c r="DD42" s="7">
        <v>3</v>
      </c>
      <c r="DE42" s="7">
        <v>3</v>
      </c>
      <c r="DF42" s="7">
        <v>3</v>
      </c>
      <c r="DG42" s="7">
        <v>3</v>
      </c>
      <c r="DH42" s="7">
        <v>3</v>
      </c>
      <c r="DI42" s="14">
        <v>1</v>
      </c>
      <c r="DJ42" s="7">
        <v>1</v>
      </c>
      <c r="DK42" s="7">
        <v>3</v>
      </c>
      <c r="DL42" s="7">
        <v>3</v>
      </c>
      <c r="DM42" s="7">
        <v>1</v>
      </c>
      <c r="DN42" s="7">
        <v>1</v>
      </c>
      <c r="DO42" s="7">
        <v>2</v>
      </c>
      <c r="DP42" s="14">
        <v>5</v>
      </c>
      <c r="DQ42" s="13">
        <v>4</v>
      </c>
      <c r="DR42" s="7">
        <v>5</v>
      </c>
      <c r="DS42" s="7">
        <v>5</v>
      </c>
      <c r="DT42" s="12">
        <v>5</v>
      </c>
      <c r="DU42" s="4">
        <v>5</v>
      </c>
      <c r="DV42" s="4">
        <v>5</v>
      </c>
      <c r="DW42" s="4">
        <v>5</v>
      </c>
      <c r="DX42" s="4">
        <v>5</v>
      </c>
      <c r="DY42" s="4">
        <v>2</v>
      </c>
      <c r="DZ42" s="4">
        <v>5</v>
      </c>
      <c r="EA42" s="4">
        <v>5</v>
      </c>
    </row>
    <row r="43" spans="1:131" x14ac:dyDescent="0.3">
      <c r="A43" s="55" t="s">
        <v>422</v>
      </c>
      <c r="B43" s="7">
        <v>5</v>
      </c>
      <c r="C43" s="7">
        <v>5</v>
      </c>
      <c r="D43" s="7">
        <v>4</v>
      </c>
      <c r="E43" s="7">
        <v>5</v>
      </c>
      <c r="F43" s="7">
        <v>5</v>
      </c>
      <c r="G43" s="7">
        <v>5</v>
      </c>
      <c r="H43" s="7">
        <v>4</v>
      </c>
      <c r="I43" s="7">
        <v>4</v>
      </c>
      <c r="J43" s="7">
        <v>4</v>
      </c>
      <c r="K43" s="7"/>
      <c r="L43" s="7">
        <v>5</v>
      </c>
      <c r="M43" s="7">
        <v>5</v>
      </c>
      <c r="N43" s="7">
        <v>5</v>
      </c>
      <c r="O43" s="7">
        <v>5</v>
      </c>
      <c r="P43" s="7">
        <v>4</v>
      </c>
      <c r="Q43" s="7"/>
      <c r="R43" s="7">
        <v>5</v>
      </c>
      <c r="S43" s="7">
        <v>2</v>
      </c>
      <c r="T43" s="7"/>
      <c r="U43" s="7">
        <v>4</v>
      </c>
      <c r="V43" s="7"/>
      <c r="W43" s="7">
        <v>5</v>
      </c>
      <c r="X43" s="26">
        <v>4</v>
      </c>
      <c r="Y43" s="26">
        <v>4</v>
      </c>
      <c r="Z43" s="26">
        <v>4</v>
      </c>
      <c r="AA43" s="26">
        <v>5</v>
      </c>
      <c r="AB43" s="26">
        <v>5</v>
      </c>
      <c r="AC43" s="26">
        <v>5</v>
      </c>
      <c r="AD43" s="26">
        <v>5</v>
      </c>
      <c r="AE43" s="26"/>
      <c r="AF43" s="26">
        <v>4</v>
      </c>
      <c r="AG43" s="26">
        <v>5</v>
      </c>
      <c r="AH43" s="7"/>
      <c r="AI43" s="7">
        <v>4</v>
      </c>
      <c r="AJ43" s="7">
        <v>5</v>
      </c>
      <c r="AK43" s="7"/>
      <c r="AL43" s="7">
        <v>4</v>
      </c>
      <c r="AM43" s="7">
        <v>5</v>
      </c>
      <c r="AN43" s="7">
        <v>5</v>
      </c>
      <c r="AO43" s="7"/>
      <c r="AP43" s="7"/>
      <c r="AQ43" s="7"/>
      <c r="AR43" s="7">
        <v>4</v>
      </c>
      <c r="AS43" s="7">
        <v>4</v>
      </c>
      <c r="AT43" s="7"/>
      <c r="AU43" s="7"/>
      <c r="AV43" s="12">
        <v>5</v>
      </c>
      <c r="AW43" s="7">
        <v>5</v>
      </c>
      <c r="AX43" s="7">
        <v>5</v>
      </c>
      <c r="AY43" s="7">
        <v>5</v>
      </c>
      <c r="AZ43" s="7">
        <v>5</v>
      </c>
      <c r="BA43" s="7">
        <v>4</v>
      </c>
      <c r="BB43" s="12">
        <v>5</v>
      </c>
      <c r="BC43" s="26">
        <v>5</v>
      </c>
      <c r="BD43" s="26">
        <v>5</v>
      </c>
      <c r="BE43" s="26">
        <v>5</v>
      </c>
      <c r="BF43" s="26">
        <v>4</v>
      </c>
      <c r="BG43" s="26">
        <v>4</v>
      </c>
      <c r="BH43" s="26">
        <v>5</v>
      </c>
      <c r="BI43" s="26">
        <v>5</v>
      </c>
      <c r="BJ43" s="7">
        <v>4</v>
      </c>
      <c r="BK43" s="26">
        <v>4</v>
      </c>
      <c r="BL43" s="26">
        <v>4</v>
      </c>
      <c r="BM43" s="26">
        <v>5</v>
      </c>
      <c r="BN43" s="26">
        <v>5</v>
      </c>
      <c r="BO43" s="26">
        <v>5</v>
      </c>
      <c r="BP43" s="4">
        <v>5</v>
      </c>
      <c r="BQ43" s="4">
        <v>5</v>
      </c>
      <c r="BR43" s="4">
        <v>1</v>
      </c>
      <c r="BS43" s="4">
        <v>3</v>
      </c>
      <c r="BT43" s="4">
        <v>5</v>
      </c>
      <c r="BU43" s="4">
        <v>5</v>
      </c>
      <c r="BV43" s="4">
        <v>5</v>
      </c>
      <c r="BW43" s="4">
        <v>5</v>
      </c>
      <c r="BX43" s="4">
        <v>5</v>
      </c>
      <c r="BY43" s="4"/>
      <c r="BZ43" s="4">
        <v>5</v>
      </c>
      <c r="CA43" s="4">
        <v>4</v>
      </c>
      <c r="CB43" s="4">
        <v>5</v>
      </c>
      <c r="CC43" s="4">
        <v>3</v>
      </c>
      <c r="CD43" s="4">
        <v>3</v>
      </c>
      <c r="CE43" s="4">
        <v>5</v>
      </c>
      <c r="CF43" s="4">
        <v>5</v>
      </c>
      <c r="CG43" s="4">
        <v>4</v>
      </c>
      <c r="CH43" s="4">
        <v>5</v>
      </c>
      <c r="CI43" s="14">
        <v>5</v>
      </c>
      <c r="CJ43" s="14">
        <v>5</v>
      </c>
      <c r="CK43" s="14">
        <v>4</v>
      </c>
      <c r="CL43" s="14">
        <v>4</v>
      </c>
      <c r="CM43" s="14">
        <v>5</v>
      </c>
      <c r="CN43" s="14">
        <v>3</v>
      </c>
      <c r="CO43" s="14">
        <v>3</v>
      </c>
      <c r="CP43" s="7"/>
      <c r="CQ43" s="14">
        <v>4</v>
      </c>
      <c r="CR43" s="14">
        <v>4</v>
      </c>
      <c r="CS43" s="14">
        <v>4</v>
      </c>
      <c r="CT43" s="14">
        <v>5</v>
      </c>
      <c r="CU43" s="14">
        <v>5</v>
      </c>
      <c r="CV43" s="4">
        <v>5</v>
      </c>
      <c r="CW43" s="4">
        <v>5</v>
      </c>
      <c r="CX43" s="4">
        <v>5</v>
      </c>
      <c r="CY43" s="4">
        <v>4</v>
      </c>
      <c r="CZ43" s="4">
        <v>4</v>
      </c>
      <c r="DA43" s="4">
        <v>4</v>
      </c>
      <c r="DB43" s="7">
        <v>4</v>
      </c>
      <c r="DC43" s="7">
        <v>4</v>
      </c>
      <c r="DD43" s="7">
        <v>4</v>
      </c>
      <c r="DE43" s="7">
        <v>4</v>
      </c>
      <c r="DF43" s="7">
        <v>4</v>
      </c>
      <c r="DG43" s="7">
        <v>4</v>
      </c>
      <c r="DH43" s="7">
        <v>3</v>
      </c>
      <c r="DI43" s="14">
        <v>4</v>
      </c>
      <c r="DJ43" s="7"/>
      <c r="DK43" s="7">
        <v>5</v>
      </c>
      <c r="DL43" s="7">
        <v>4</v>
      </c>
      <c r="DM43" s="7">
        <v>4</v>
      </c>
      <c r="DN43" s="7">
        <v>4</v>
      </c>
      <c r="DO43" s="7">
        <v>4</v>
      </c>
      <c r="DP43" s="14">
        <v>5</v>
      </c>
      <c r="DQ43" s="7">
        <v>5</v>
      </c>
      <c r="DR43" s="7">
        <v>5</v>
      </c>
      <c r="DS43" s="7">
        <v>5</v>
      </c>
      <c r="DT43" s="12">
        <v>5</v>
      </c>
      <c r="DU43" s="4">
        <v>5</v>
      </c>
      <c r="DV43" s="4">
        <v>5</v>
      </c>
      <c r="DW43" s="4">
        <v>5</v>
      </c>
      <c r="DX43" s="4"/>
      <c r="DY43" s="4">
        <v>4</v>
      </c>
      <c r="DZ43" s="4">
        <v>4</v>
      </c>
      <c r="EA43" s="4">
        <v>5</v>
      </c>
    </row>
    <row r="44" spans="1:131" x14ac:dyDescent="0.3">
      <c r="A44" s="55" t="s">
        <v>423</v>
      </c>
      <c r="B44" s="7">
        <v>5</v>
      </c>
      <c r="C44" s="7">
        <v>5</v>
      </c>
      <c r="D44" s="7">
        <v>5</v>
      </c>
      <c r="E44" s="7">
        <v>2</v>
      </c>
      <c r="F44" s="7">
        <v>2</v>
      </c>
      <c r="G44" s="7">
        <v>5</v>
      </c>
      <c r="H44" s="7">
        <v>4</v>
      </c>
      <c r="I44" s="7">
        <v>4</v>
      </c>
      <c r="J44" s="7">
        <v>4</v>
      </c>
      <c r="K44" s="7">
        <v>5</v>
      </c>
      <c r="L44" s="7">
        <v>4</v>
      </c>
      <c r="M44" s="7">
        <v>5</v>
      </c>
      <c r="N44" s="7">
        <v>5</v>
      </c>
      <c r="O44" s="7">
        <v>5</v>
      </c>
      <c r="P44" s="7">
        <v>2</v>
      </c>
      <c r="Q44" s="7">
        <v>5</v>
      </c>
      <c r="R44" s="7">
        <v>4</v>
      </c>
      <c r="S44" s="7">
        <v>5</v>
      </c>
      <c r="T44" s="7">
        <v>5</v>
      </c>
      <c r="U44" s="7">
        <v>5</v>
      </c>
      <c r="V44" s="7">
        <v>4</v>
      </c>
      <c r="W44" s="7">
        <v>1</v>
      </c>
      <c r="X44" s="26">
        <v>1</v>
      </c>
      <c r="Y44" s="26">
        <v>5</v>
      </c>
      <c r="Z44" s="26">
        <v>5</v>
      </c>
      <c r="AA44" s="26">
        <v>5</v>
      </c>
      <c r="AB44" s="26">
        <v>5</v>
      </c>
      <c r="AC44" s="26">
        <v>5</v>
      </c>
      <c r="AD44" s="26">
        <v>5</v>
      </c>
      <c r="AE44" s="26">
        <v>5</v>
      </c>
      <c r="AF44" s="26">
        <v>5</v>
      </c>
      <c r="AG44" s="26">
        <v>5</v>
      </c>
      <c r="AH44" s="7">
        <v>4</v>
      </c>
      <c r="AI44" s="7">
        <v>4</v>
      </c>
      <c r="AJ44" s="7">
        <v>4</v>
      </c>
      <c r="AK44" s="7">
        <v>3</v>
      </c>
      <c r="AL44" s="7">
        <v>3</v>
      </c>
      <c r="AM44" s="7">
        <v>4</v>
      </c>
      <c r="AN44" s="7">
        <v>4</v>
      </c>
      <c r="AO44" s="7">
        <v>5</v>
      </c>
      <c r="AP44" s="7">
        <v>5</v>
      </c>
      <c r="AQ44" s="7">
        <v>5</v>
      </c>
      <c r="AR44" s="7">
        <v>5</v>
      </c>
      <c r="AS44" s="7">
        <v>4</v>
      </c>
      <c r="AT44" s="7">
        <v>4</v>
      </c>
      <c r="AU44" s="7">
        <v>3</v>
      </c>
      <c r="AV44" s="12">
        <v>5</v>
      </c>
      <c r="AW44" s="7">
        <v>5</v>
      </c>
      <c r="AX44" s="7">
        <v>5</v>
      </c>
      <c r="AY44" s="7">
        <v>5</v>
      </c>
      <c r="AZ44" s="7">
        <v>5</v>
      </c>
      <c r="BA44" s="7">
        <v>4</v>
      </c>
      <c r="BB44" s="12">
        <v>5</v>
      </c>
      <c r="BC44" s="26">
        <v>1</v>
      </c>
      <c r="BD44" s="26">
        <v>5</v>
      </c>
      <c r="BE44" s="26">
        <v>1</v>
      </c>
      <c r="BF44" s="26">
        <v>5</v>
      </c>
      <c r="BG44" s="26">
        <v>5</v>
      </c>
      <c r="BH44" s="26">
        <v>5</v>
      </c>
      <c r="BI44" s="26">
        <v>5</v>
      </c>
      <c r="BJ44" s="7">
        <v>5</v>
      </c>
      <c r="BK44" s="26">
        <v>4</v>
      </c>
      <c r="BL44" s="26">
        <v>1</v>
      </c>
      <c r="BM44" s="26">
        <v>5</v>
      </c>
      <c r="BN44" s="26">
        <v>5</v>
      </c>
      <c r="BO44" s="26">
        <v>1</v>
      </c>
      <c r="BP44" s="4">
        <v>5</v>
      </c>
      <c r="BQ44" s="4">
        <v>5</v>
      </c>
      <c r="BR44" s="4">
        <v>4</v>
      </c>
      <c r="BS44" s="4">
        <v>5</v>
      </c>
      <c r="BT44" s="4">
        <v>1</v>
      </c>
      <c r="BU44" s="4">
        <v>5</v>
      </c>
      <c r="BV44" s="4">
        <v>5</v>
      </c>
      <c r="BW44" s="4">
        <v>5</v>
      </c>
      <c r="BX44" s="4">
        <v>4</v>
      </c>
      <c r="BY44" s="4">
        <v>1</v>
      </c>
      <c r="BZ44" s="4">
        <v>5</v>
      </c>
      <c r="CA44" s="4">
        <v>4</v>
      </c>
      <c r="CB44" s="4">
        <v>5</v>
      </c>
      <c r="CC44" s="4">
        <v>5</v>
      </c>
      <c r="CD44" s="4">
        <v>5</v>
      </c>
      <c r="CE44" s="4">
        <v>1</v>
      </c>
      <c r="CF44" s="4">
        <v>1</v>
      </c>
      <c r="CG44" s="4">
        <v>4</v>
      </c>
      <c r="CH44" s="4">
        <v>5</v>
      </c>
      <c r="CI44" s="14">
        <v>5</v>
      </c>
      <c r="CJ44" s="14">
        <v>5</v>
      </c>
      <c r="CK44" s="14">
        <v>1</v>
      </c>
      <c r="CL44" s="14">
        <v>1</v>
      </c>
      <c r="CM44" s="14">
        <v>5</v>
      </c>
      <c r="CN44" s="14">
        <v>3</v>
      </c>
      <c r="CO44" s="14">
        <v>5</v>
      </c>
      <c r="CP44" s="7">
        <v>5</v>
      </c>
      <c r="CQ44" s="14">
        <v>3</v>
      </c>
      <c r="CR44" s="14">
        <v>5</v>
      </c>
      <c r="CS44" s="14">
        <v>3</v>
      </c>
      <c r="CT44" s="14">
        <v>5</v>
      </c>
      <c r="CU44" s="14">
        <v>5</v>
      </c>
      <c r="CV44" s="4">
        <v>5</v>
      </c>
      <c r="CW44" s="4">
        <v>5</v>
      </c>
      <c r="CX44" s="4">
        <v>5</v>
      </c>
      <c r="CY44" s="4">
        <v>5</v>
      </c>
      <c r="CZ44" s="4">
        <v>5</v>
      </c>
      <c r="DA44" s="4">
        <v>5</v>
      </c>
      <c r="DB44" s="7">
        <v>4</v>
      </c>
      <c r="DC44" s="7">
        <v>1</v>
      </c>
      <c r="DD44" s="7">
        <v>4</v>
      </c>
      <c r="DE44" s="7">
        <v>3</v>
      </c>
      <c r="DF44" s="7">
        <v>4</v>
      </c>
      <c r="DG44" s="7">
        <v>4</v>
      </c>
      <c r="DH44" s="7">
        <v>4</v>
      </c>
      <c r="DI44" s="14">
        <v>5</v>
      </c>
      <c r="DJ44" s="7">
        <v>5</v>
      </c>
      <c r="DK44" s="7">
        <v>5</v>
      </c>
      <c r="DL44" s="7">
        <v>5</v>
      </c>
      <c r="DM44" s="7">
        <v>5</v>
      </c>
      <c r="DN44" s="7">
        <v>2</v>
      </c>
      <c r="DO44" s="7">
        <v>1</v>
      </c>
      <c r="DP44" s="14">
        <v>2</v>
      </c>
      <c r="DQ44" s="7">
        <v>4</v>
      </c>
      <c r="DR44" s="7">
        <v>1</v>
      </c>
      <c r="DS44" s="7">
        <v>4</v>
      </c>
      <c r="DT44" s="12">
        <v>5</v>
      </c>
      <c r="DU44" s="4">
        <v>5</v>
      </c>
      <c r="DV44" s="4">
        <v>5</v>
      </c>
      <c r="DW44" s="4">
        <v>5</v>
      </c>
      <c r="DX44" s="4">
        <v>5</v>
      </c>
      <c r="DY44" s="4">
        <v>4</v>
      </c>
      <c r="DZ44" s="4">
        <v>5</v>
      </c>
      <c r="EA44" s="4">
        <v>2</v>
      </c>
    </row>
    <row r="45" spans="1:131" x14ac:dyDescent="0.3">
      <c r="A45" s="55" t="s">
        <v>424</v>
      </c>
      <c r="B45" s="7">
        <v>5</v>
      </c>
      <c r="C45" s="7">
        <v>4</v>
      </c>
      <c r="D45" s="7">
        <v>5</v>
      </c>
      <c r="E45" s="7">
        <v>4</v>
      </c>
      <c r="F45" s="7">
        <v>5</v>
      </c>
      <c r="G45" s="7">
        <v>5</v>
      </c>
      <c r="H45" s="7">
        <v>4</v>
      </c>
      <c r="I45" s="7">
        <v>3</v>
      </c>
      <c r="J45" s="7">
        <v>4</v>
      </c>
      <c r="K45" s="7"/>
      <c r="L45" s="7">
        <v>3</v>
      </c>
      <c r="M45" s="7">
        <v>4</v>
      </c>
      <c r="N45" s="7">
        <v>3</v>
      </c>
      <c r="O45" s="7">
        <v>3</v>
      </c>
      <c r="P45" s="7">
        <v>4</v>
      </c>
      <c r="Q45" s="7"/>
      <c r="R45" s="7">
        <v>4</v>
      </c>
      <c r="S45" s="7">
        <v>1</v>
      </c>
      <c r="T45" s="7"/>
      <c r="U45" s="7">
        <v>5</v>
      </c>
      <c r="V45" s="7"/>
      <c r="W45" s="7">
        <v>5</v>
      </c>
      <c r="X45" s="26">
        <v>3</v>
      </c>
      <c r="Y45" s="26">
        <v>4</v>
      </c>
      <c r="Z45" s="26">
        <v>5</v>
      </c>
      <c r="AA45" s="26">
        <v>5</v>
      </c>
      <c r="AB45" s="26">
        <v>5</v>
      </c>
      <c r="AC45" s="26">
        <v>5</v>
      </c>
      <c r="AD45" s="26">
        <v>1</v>
      </c>
      <c r="AE45" s="26"/>
      <c r="AF45" s="26">
        <v>5</v>
      </c>
      <c r="AG45" s="26">
        <v>5</v>
      </c>
      <c r="AH45" s="7"/>
      <c r="AI45" s="7">
        <v>3</v>
      </c>
      <c r="AJ45" s="7">
        <v>2</v>
      </c>
      <c r="AK45" s="7">
        <v>3</v>
      </c>
      <c r="AL45" s="7">
        <v>3</v>
      </c>
      <c r="AM45" s="7">
        <v>4</v>
      </c>
      <c r="AN45" s="7">
        <v>4</v>
      </c>
      <c r="AO45" s="7"/>
      <c r="AP45" s="7"/>
      <c r="AQ45" s="7"/>
      <c r="AR45" s="7">
        <v>3</v>
      </c>
      <c r="AS45" s="7">
        <v>4</v>
      </c>
      <c r="AT45" s="7">
        <v>4</v>
      </c>
      <c r="AU45" s="7"/>
      <c r="AV45" s="12">
        <v>5</v>
      </c>
      <c r="AW45" s="7">
        <v>5</v>
      </c>
      <c r="AX45" s="7">
        <v>5</v>
      </c>
      <c r="AY45" s="7">
        <v>4</v>
      </c>
      <c r="AZ45" s="7">
        <v>5</v>
      </c>
      <c r="BA45" s="7">
        <v>4</v>
      </c>
      <c r="BB45" s="12">
        <v>5</v>
      </c>
      <c r="BC45" s="26">
        <v>5</v>
      </c>
      <c r="BD45" s="26">
        <v>5</v>
      </c>
      <c r="BE45" s="26">
        <v>5</v>
      </c>
      <c r="BF45" s="26">
        <v>5</v>
      </c>
      <c r="BG45" s="26">
        <v>5</v>
      </c>
      <c r="BH45" s="26">
        <v>5</v>
      </c>
      <c r="BI45" s="26">
        <v>4</v>
      </c>
      <c r="BJ45" s="7">
        <v>1</v>
      </c>
      <c r="BK45" s="26">
        <v>5</v>
      </c>
      <c r="BL45" s="26">
        <v>5</v>
      </c>
      <c r="BM45" s="26">
        <v>4</v>
      </c>
      <c r="BN45" s="26">
        <v>4</v>
      </c>
      <c r="BO45" s="26">
        <v>4</v>
      </c>
      <c r="BP45" s="4">
        <v>4</v>
      </c>
      <c r="BQ45" s="4">
        <v>4</v>
      </c>
      <c r="BR45" s="4">
        <v>5</v>
      </c>
      <c r="BS45" s="4">
        <v>4</v>
      </c>
      <c r="BT45" s="4">
        <v>5</v>
      </c>
      <c r="BU45" s="4">
        <v>5</v>
      </c>
      <c r="BV45" s="4">
        <v>5</v>
      </c>
      <c r="BW45" s="4">
        <v>5</v>
      </c>
      <c r="BX45" s="4">
        <v>4</v>
      </c>
      <c r="BY45" s="4"/>
      <c r="BZ45" s="4"/>
      <c r="CA45" s="4">
        <v>3</v>
      </c>
      <c r="CB45" s="4">
        <v>3</v>
      </c>
      <c r="CC45" s="4">
        <v>1</v>
      </c>
      <c r="CD45" s="4">
        <v>3</v>
      </c>
      <c r="CE45" s="4">
        <v>5</v>
      </c>
      <c r="CF45" s="4">
        <v>5</v>
      </c>
      <c r="CG45" s="4">
        <v>3</v>
      </c>
      <c r="CH45" s="4">
        <v>5</v>
      </c>
      <c r="CI45" s="14"/>
      <c r="CJ45" s="14">
        <v>5</v>
      </c>
      <c r="CK45" s="14">
        <v>5</v>
      </c>
      <c r="CL45" s="14">
        <v>4</v>
      </c>
      <c r="CM45" s="14">
        <v>1</v>
      </c>
      <c r="CN45" s="14">
        <v>3</v>
      </c>
      <c r="CO45" s="14">
        <v>4</v>
      </c>
      <c r="CP45" s="7"/>
      <c r="CQ45" s="14">
        <v>5</v>
      </c>
      <c r="CR45" s="14"/>
      <c r="CS45" s="14">
        <v>4</v>
      </c>
      <c r="CT45" s="14">
        <v>5</v>
      </c>
      <c r="CU45" s="14">
        <v>5</v>
      </c>
      <c r="CV45" s="4">
        <v>4</v>
      </c>
      <c r="CW45" s="4">
        <v>4</v>
      </c>
      <c r="CX45" s="4">
        <v>3</v>
      </c>
      <c r="CY45" s="4">
        <v>3</v>
      </c>
      <c r="CZ45" s="4">
        <v>4</v>
      </c>
      <c r="DA45" s="4">
        <v>4</v>
      </c>
      <c r="DB45" s="7">
        <v>4</v>
      </c>
      <c r="DC45" s="7">
        <v>3</v>
      </c>
      <c r="DD45" s="7">
        <v>4</v>
      </c>
      <c r="DE45" s="7">
        <v>4</v>
      </c>
      <c r="DF45" s="7">
        <v>4</v>
      </c>
      <c r="DG45" s="7">
        <v>4</v>
      </c>
      <c r="DH45" s="7">
        <v>1</v>
      </c>
      <c r="DI45" s="14">
        <v>4</v>
      </c>
      <c r="DJ45" s="7"/>
      <c r="DK45" s="7">
        <v>3</v>
      </c>
      <c r="DL45" s="7">
        <v>2</v>
      </c>
      <c r="DM45" s="7">
        <v>4</v>
      </c>
      <c r="DN45" s="7">
        <v>5</v>
      </c>
      <c r="DO45" s="7">
        <v>4</v>
      </c>
      <c r="DP45" s="14">
        <v>5</v>
      </c>
      <c r="DQ45" s="7">
        <v>5</v>
      </c>
      <c r="DR45" s="7">
        <v>5</v>
      </c>
      <c r="DS45" s="7">
        <v>4</v>
      </c>
      <c r="DT45" s="12">
        <v>3</v>
      </c>
      <c r="DU45" s="4">
        <v>4</v>
      </c>
      <c r="DV45" s="4">
        <v>5</v>
      </c>
      <c r="DW45" s="4">
        <v>5</v>
      </c>
      <c r="DX45" s="4"/>
      <c r="DY45" s="4">
        <v>4</v>
      </c>
      <c r="DZ45" s="4">
        <v>5</v>
      </c>
      <c r="EA45" s="4">
        <v>4</v>
      </c>
    </row>
    <row r="46" spans="1:131" x14ac:dyDescent="0.3">
      <c r="A46" s="55" t="s">
        <v>425</v>
      </c>
      <c r="B46" s="7">
        <v>1</v>
      </c>
      <c r="C46" s="7">
        <v>2</v>
      </c>
      <c r="D46" s="7">
        <v>1</v>
      </c>
      <c r="E46" s="7">
        <v>1</v>
      </c>
      <c r="F46" s="7">
        <v>1</v>
      </c>
      <c r="G46" s="7">
        <v>1</v>
      </c>
      <c r="H46" s="7">
        <v>3</v>
      </c>
      <c r="I46" s="7">
        <v>2</v>
      </c>
      <c r="J46" s="7">
        <v>1</v>
      </c>
      <c r="K46" s="7"/>
      <c r="L46" s="7">
        <v>4</v>
      </c>
      <c r="M46" s="7">
        <v>1</v>
      </c>
      <c r="N46" s="7">
        <v>1</v>
      </c>
      <c r="O46" s="7">
        <v>1</v>
      </c>
      <c r="P46" s="7">
        <v>2</v>
      </c>
      <c r="Q46" s="7"/>
      <c r="R46" s="7">
        <v>1</v>
      </c>
      <c r="S46" s="7">
        <v>1</v>
      </c>
      <c r="T46" s="7">
        <v>4</v>
      </c>
      <c r="U46" s="7">
        <v>1</v>
      </c>
      <c r="V46" s="7"/>
      <c r="W46" s="7">
        <v>1</v>
      </c>
      <c r="X46" s="26">
        <v>1</v>
      </c>
      <c r="Y46" s="26">
        <v>1</v>
      </c>
      <c r="Z46" s="26">
        <v>1</v>
      </c>
      <c r="AA46" s="26">
        <v>5</v>
      </c>
      <c r="AB46" s="26">
        <v>5</v>
      </c>
      <c r="AC46" s="26">
        <v>5</v>
      </c>
      <c r="AD46" s="26">
        <v>1</v>
      </c>
      <c r="AE46" s="26">
        <v>1</v>
      </c>
      <c r="AF46" s="26">
        <v>4</v>
      </c>
      <c r="AG46" s="26">
        <v>1</v>
      </c>
      <c r="AH46" s="7"/>
      <c r="AI46" s="7">
        <v>4</v>
      </c>
      <c r="AJ46" s="7">
        <v>4</v>
      </c>
      <c r="AK46" s="7">
        <v>1</v>
      </c>
      <c r="AL46" s="7">
        <v>3</v>
      </c>
      <c r="AM46" s="7">
        <v>1</v>
      </c>
      <c r="AN46" s="7">
        <v>5</v>
      </c>
      <c r="AO46" s="7"/>
      <c r="AP46" s="7"/>
      <c r="AQ46" s="7"/>
      <c r="AR46" s="7">
        <v>4</v>
      </c>
      <c r="AS46" s="7">
        <v>4</v>
      </c>
      <c r="AT46" s="7">
        <v>1</v>
      </c>
      <c r="AU46" s="7"/>
      <c r="AV46" s="12">
        <v>1</v>
      </c>
      <c r="AW46" s="7">
        <v>1</v>
      </c>
      <c r="AX46" s="7">
        <v>1</v>
      </c>
      <c r="AY46" s="7">
        <v>1</v>
      </c>
      <c r="AZ46" s="7">
        <v>3</v>
      </c>
      <c r="BA46" s="7">
        <v>1</v>
      </c>
      <c r="BB46" s="12">
        <v>1</v>
      </c>
      <c r="BC46" s="26">
        <v>1</v>
      </c>
      <c r="BD46" s="26">
        <v>1</v>
      </c>
      <c r="BE46" s="26">
        <v>3</v>
      </c>
      <c r="BF46" s="26">
        <v>4</v>
      </c>
      <c r="BG46" s="26">
        <v>1</v>
      </c>
      <c r="BH46" s="26">
        <v>4</v>
      </c>
      <c r="BI46" s="26">
        <v>1</v>
      </c>
      <c r="BJ46" s="7">
        <v>1</v>
      </c>
      <c r="BK46" s="26">
        <v>1</v>
      </c>
      <c r="BL46" s="26">
        <v>1</v>
      </c>
      <c r="BM46" s="26">
        <v>1</v>
      </c>
      <c r="BN46" s="26">
        <v>1</v>
      </c>
      <c r="BO46" s="26">
        <v>1</v>
      </c>
      <c r="BP46" s="4">
        <v>1</v>
      </c>
      <c r="BQ46" s="4">
        <v>4</v>
      </c>
      <c r="BR46" s="4">
        <v>1</v>
      </c>
      <c r="BS46" s="4">
        <v>1</v>
      </c>
      <c r="BT46" s="4">
        <v>1</v>
      </c>
      <c r="BU46" s="4">
        <v>1</v>
      </c>
      <c r="BV46" s="4">
        <v>1</v>
      </c>
      <c r="BW46" s="4">
        <v>3</v>
      </c>
      <c r="BX46" s="4">
        <v>5</v>
      </c>
      <c r="BY46" s="4">
        <v>1</v>
      </c>
      <c r="BZ46" s="4">
        <v>1</v>
      </c>
      <c r="CA46" s="4">
        <v>1</v>
      </c>
      <c r="CB46" s="4">
        <v>3</v>
      </c>
      <c r="CC46" s="4">
        <v>1</v>
      </c>
      <c r="CD46" s="4">
        <v>3</v>
      </c>
      <c r="CE46" s="4">
        <v>1</v>
      </c>
      <c r="CF46" s="4">
        <v>1</v>
      </c>
      <c r="CG46" s="4">
        <v>1</v>
      </c>
      <c r="CH46" s="4">
        <v>1</v>
      </c>
      <c r="CI46" s="14">
        <v>1</v>
      </c>
      <c r="CJ46" s="14">
        <v>1</v>
      </c>
      <c r="CK46" s="14">
        <v>1</v>
      </c>
      <c r="CL46" s="14">
        <v>1</v>
      </c>
      <c r="CM46" s="14">
        <v>1</v>
      </c>
      <c r="CN46" s="14">
        <v>1</v>
      </c>
      <c r="CO46" s="14">
        <v>1</v>
      </c>
      <c r="CP46" s="7"/>
      <c r="CQ46" s="14">
        <v>5</v>
      </c>
      <c r="CR46" s="14">
        <v>3</v>
      </c>
      <c r="CS46" s="14">
        <v>1</v>
      </c>
      <c r="CT46" s="14">
        <v>1</v>
      </c>
      <c r="CU46" s="14">
        <v>1</v>
      </c>
      <c r="CV46" s="4">
        <v>4</v>
      </c>
      <c r="CW46" s="4">
        <v>4</v>
      </c>
      <c r="CX46" s="4">
        <v>2</v>
      </c>
      <c r="CY46" s="4">
        <v>1</v>
      </c>
      <c r="CZ46" s="4">
        <v>1</v>
      </c>
      <c r="DA46" s="4">
        <v>1</v>
      </c>
      <c r="DB46" s="7">
        <v>1</v>
      </c>
      <c r="DC46" s="7">
        <v>1</v>
      </c>
      <c r="DD46" s="7">
        <v>1</v>
      </c>
      <c r="DE46" s="7">
        <v>1</v>
      </c>
      <c r="DF46" s="7">
        <v>1</v>
      </c>
      <c r="DG46" s="7">
        <v>1</v>
      </c>
      <c r="DH46" s="7"/>
      <c r="DI46" s="14">
        <v>1</v>
      </c>
      <c r="DJ46" s="7">
        <v>1</v>
      </c>
      <c r="DK46" s="7">
        <v>3</v>
      </c>
      <c r="DL46" s="7">
        <v>1</v>
      </c>
      <c r="DM46" s="7">
        <v>1</v>
      </c>
      <c r="DN46" s="7">
        <v>3</v>
      </c>
      <c r="DO46" s="7">
        <v>1</v>
      </c>
      <c r="DP46" s="14">
        <v>1</v>
      </c>
      <c r="DQ46" s="7">
        <v>3</v>
      </c>
      <c r="DR46" s="7">
        <v>1</v>
      </c>
      <c r="DS46" s="7">
        <v>3</v>
      </c>
      <c r="DT46" s="12">
        <v>1</v>
      </c>
      <c r="DU46" s="4">
        <v>1</v>
      </c>
      <c r="DV46" s="4">
        <v>1</v>
      </c>
      <c r="DW46" s="4">
        <v>3</v>
      </c>
      <c r="DX46" s="4">
        <v>1</v>
      </c>
      <c r="DY46" s="4">
        <v>1</v>
      </c>
      <c r="DZ46" s="4">
        <v>4</v>
      </c>
      <c r="EA46" s="4">
        <v>1</v>
      </c>
    </row>
    <row r="47" spans="1:131" x14ac:dyDescent="0.3">
      <c r="A47" s="1" t="s">
        <v>426</v>
      </c>
      <c r="B47" s="7"/>
      <c r="C47" s="7"/>
      <c r="D47" s="7"/>
      <c r="E47" s="7"/>
      <c r="F47" s="7"/>
      <c r="G47" s="7"/>
      <c r="H47" s="7"/>
      <c r="I47" s="7"/>
      <c r="J47" s="7"/>
      <c r="K47" s="7"/>
      <c r="L47" s="7"/>
      <c r="M47" s="7"/>
      <c r="N47" s="7"/>
      <c r="O47" s="7"/>
      <c r="P47" s="7"/>
      <c r="Q47" s="7"/>
      <c r="R47" s="7"/>
      <c r="S47" s="7"/>
      <c r="T47" s="7"/>
      <c r="U47" s="7"/>
      <c r="V47" s="7"/>
      <c r="W47" s="7"/>
      <c r="X47" s="7"/>
      <c r="Y47" s="7"/>
      <c r="Z47" s="7"/>
      <c r="AA47" s="7"/>
      <c r="AB47" s="56"/>
      <c r="AC47" s="56"/>
      <c r="AD47" s="56"/>
      <c r="AE47" s="56"/>
      <c r="AF47" s="56"/>
      <c r="AG47" s="56"/>
      <c r="AH47" s="56"/>
      <c r="AI47" s="57"/>
      <c r="AJ47" s="57"/>
      <c r="AK47" s="57"/>
      <c r="AL47" s="57"/>
      <c r="AM47" s="57"/>
      <c r="AN47" s="57"/>
      <c r="AO47" s="57"/>
      <c r="AP47" s="57"/>
      <c r="AQ47" s="57"/>
      <c r="AR47" s="57"/>
      <c r="AS47" s="57"/>
      <c r="AT47" s="57"/>
      <c r="AU47" s="57"/>
      <c r="AV47" s="57"/>
      <c r="AW47" s="57"/>
      <c r="AX47" s="57"/>
      <c r="AY47" s="57"/>
      <c r="AZ47" s="57"/>
      <c r="BA47" s="57"/>
      <c r="BB47" s="57"/>
      <c r="BC47" s="57"/>
      <c r="BD47" s="57"/>
      <c r="BE47" s="57"/>
      <c r="BF47" s="57"/>
      <c r="BG47" s="57"/>
      <c r="BH47" s="57"/>
      <c r="BI47" s="41"/>
      <c r="BJ47" s="57"/>
      <c r="BK47" s="57"/>
      <c r="BL47" s="57"/>
      <c r="BM47" s="57"/>
      <c r="BN47" s="57"/>
      <c r="BO47" s="57"/>
      <c r="BP47" s="146"/>
      <c r="BQ47" s="58"/>
      <c r="BR47" s="58"/>
      <c r="BS47" s="58"/>
      <c r="BT47" s="58"/>
      <c r="BU47" s="58"/>
      <c r="BV47" s="58"/>
      <c r="BW47" s="58"/>
      <c r="BX47" s="58"/>
      <c r="BY47" s="58"/>
      <c r="BZ47" s="58"/>
      <c r="CA47" s="58"/>
      <c r="CB47" s="58"/>
      <c r="CC47" s="58"/>
      <c r="CD47" s="58"/>
      <c r="CE47" s="58"/>
      <c r="CF47" s="58"/>
      <c r="CG47" s="58"/>
      <c r="CH47" s="58"/>
      <c r="CI47" s="58"/>
      <c r="CJ47" s="58"/>
      <c r="CK47" s="58"/>
      <c r="CL47" s="58"/>
      <c r="CM47" s="58"/>
      <c r="CN47" s="58"/>
      <c r="CO47" s="58"/>
      <c r="CP47" s="58"/>
      <c r="CQ47" s="58"/>
      <c r="CR47" s="58"/>
      <c r="CS47" s="58"/>
      <c r="CT47" s="58"/>
      <c r="CU47" s="58"/>
      <c r="CV47" s="59"/>
      <c r="CW47" s="59"/>
      <c r="CX47" s="59"/>
      <c r="CY47" s="59"/>
      <c r="CZ47" s="59"/>
      <c r="DA47" s="59"/>
      <c r="DB47" s="60"/>
      <c r="DC47" s="60"/>
      <c r="DD47" s="60"/>
      <c r="DE47" s="60"/>
      <c r="DF47" s="60"/>
      <c r="DG47" s="61"/>
      <c r="DH47" s="61"/>
      <c r="DI47" s="61"/>
      <c r="DJ47" s="61"/>
      <c r="DK47" s="61"/>
      <c r="DL47" s="61"/>
      <c r="DM47" s="61"/>
      <c r="DN47" s="61"/>
      <c r="DO47" s="61"/>
      <c r="DP47" s="7"/>
      <c r="DQ47" s="7"/>
      <c r="DR47" s="7"/>
      <c r="DS47" s="7"/>
      <c r="DT47" s="12"/>
      <c r="DU47" s="12"/>
      <c r="DV47" s="12"/>
      <c r="DW47" s="12"/>
      <c r="DX47" s="12"/>
      <c r="DY47" s="12"/>
      <c r="DZ47" s="12"/>
      <c r="EA47" s="12"/>
    </row>
    <row r="48" spans="1:131" x14ac:dyDescent="0.3">
      <c r="A48" s="62" t="s">
        <v>427</v>
      </c>
      <c r="B48" s="7" t="s">
        <v>428</v>
      </c>
      <c r="C48" s="7" t="s">
        <v>429</v>
      </c>
      <c r="D48" s="7" t="s">
        <v>430</v>
      </c>
      <c r="E48" s="7" t="s">
        <v>429</v>
      </c>
      <c r="F48" s="7" t="s">
        <v>429</v>
      </c>
      <c r="G48" s="7" t="s">
        <v>430</v>
      </c>
      <c r="H48" s="7" t="s">
        <v>428</v>
      </c>
      <c r="I48" s="7" t="s">
        <v>431</v>
      </c>
      <c r="J48" s="7" t="s">
        <v>431</v>
      </c>
      <c r="K48" s="7" t="s">
        <v>431</v>
      </c>
      <c r="L48" s="7" t="s">
        <v>431</v>
      </c>
      <c r="M48" s="7" t="s">
        <v>431</v>
      </c>
      <c r="N48" s="7" t="s">
        <v>431</v>
      </c>
      <c r="O48" s="7" t="s">
        <v>431</v>
      </c>
      <c r="P48" s="7" t="s">
        <v>431</v>
      </c>
      <c r="Q48" s="7" t="s">
        <v>431</v>
      </c>
      <c r="R48" s="7" t="s">
        <v>431</v>
      </c>
      <c r="S48" s="7" t="s">
        <v>432</v>
      </c>
      <c r="T48" s="7" t="s">
        <v>432</v>
      </c>
      <c r="U48" s="7" t="s">
        <v>431</v>
      </c>
      <c r="V48" s="7" t="s">
        <v>431</v>
      </c>
      <c r="W48" s="7" t="s">
        <v>431</v>
      </c>
      <c r="X48" s="7" t="s">
        <v>433</v>
      </c>
      <c r="Y48" s="7" t="s">
        <v>433</v>
      </c>
      <c r="Z48" s="7" t="s">
        <v>433</v>
      </c>
      <c r="AA48" s="7" t="s">
        <v>433</v>
      </c>
      <c r="AB48" s="7" t="s">
        <v>433</v>
      </c>
      <c r="AC48" s="7" t="s">
        <v>434</v>
      </c>
      <c r="AD48" s="7" t="s">
        <v>435</v>
      </c>
      <c r="AE48" s="7" t="s">
        <v>436</v>
      </c>
      <c r="AF48" s="7" t="s">
        <v>436</v>
      </c>
      <c r="AG48" s="7" t="s">
        <v>436</v>
      </c>
      <c r="AH48" s="7" t="s">
        <v>432</v>
      </c>
      <c r="AI48" s="7" t="s">
        <v>431</v>
      </c>
      <c r="AJ48" s="7" t="s">
        <v>431</v>
      </c>
      <c r="AK48" s="7" t="s">
        <v>431</v>
      </c>
      <c r="AL48" s="7" t="s">
        <v>431</v>
      </c>
      <c r="AM48" s="7" t="s">
        <v>431</v>
      </c>
      <c r="AN48" s="7" t="s">
        <v>431</v>
      </c>
      <c r="AO48" s="7" t="s">
        <v>431</v>
      </c>
      <c r="AP48" s="7" t="s">
        <v>430</v>
      </c>
      <c r="AQ48" s="7" t="s">
        <v>431</v>
      </c>
      <c r="AR48" s="7" t="s">
        <v>430</v>
      </c>
      <c r="AS48" s="7" t="s">
        <v>431</v>
      </c>
      <c r="AT48" s="7" t="s">
        <v>431</v>
      </c>
      <c r="AU48" s="7" t="s">
        <v>431</v>
      </c>
      <c r="AV48" s="12" t="s">
        <v>428</v>
      </c>
      <c r="AW48" s="7" t="s">
        <v>428</v>
      </c>
      <c r="AX48" s="7" t="s">
        <v>437</v>
      </c>
      <c r="AY48" s="7" t="s">
        <v>430</v>
      </c>
      <c r="AZ48" s="7" t="s">
        <v>430</v>
      </c>
      <c r="BA48" s="7" t="s">
        <v>428</v>
      </c>
      <c r="BB48" s="12" t="s">
        <v>438</v>
      </c>
      <c r="BC48" s="7" t="s">
        <v>439</v>
      </c>
      <c r="BD48" s="7" t="s">
        <v>439</v>
      </c>
      <c r="BE48" s="7" t="s">
        <v>440</v>
      </c>
      <c r="BF48" s="7" t="s">
        <v>441</v>
      </c>
      <c r="BG48" s="7" t="s">
        <v>441</v>
      </c>
      <c r="BH48" s="12" t="s">
        <v>442</v>
      </c>
      <c r="BI48" s="63" t="s">
        <v>443</v>
      </c>
      <c r="BJ48" s="64" t="s">
        <v>431</v>
      </c>
      <c r="BK48" s="7" t="s">
        <v>428</v>
      </c>
      <c r="BL48" s="7" t="s">
        <v>444</v>
      </c>
      <c r="BM48" s="7" t="s">
        <v>428</v>
      </c>
      <c r="BN48" s="7" t="s">
        <v>428</v>
      </c>
      <c r="BO48" s="7" t="s">
        <v>445</v>
      </c>
      <c r="BP48" s="7" t="s">
        <v>446</v>
      </c>
      <c r="BQ48" s="7" t="s">
        <v>447</v>
      </c>
      <c r="BR48" s="7" t="s">
        <v>435</v>
      </c>
      <c r="BS48" s="7" t="s">
        <v>448</v>
      </c>
      <c r="BT48" s="7" t="s">
        <v>438</v>
      </c>
      <c r="BU48" s="7" t="s">
        <v>449</v>
      </c>
      <c r="BV48" s="7">
        <f>BO47</f>
        <v>0</v>
      </c>
      <c r="BW48" s="7" t="s">
        <v>450</v>
      </c>
      <c r="BX48" s="7" t="s">
        <v>431</v>
      </c>
      <c r="BY48" s="7"/>
      <c r="BZ48" s="7" t="s">
        <v>430</v>
      </c>
      <c r="CA48" s="7" t="s">
        <v>431</v>
      </c>
      <c r="CB48" s="7" t="s">
        <v>431</v>
      </c>
      <c r="CC48" s="7" t="s">
        <v>428</v>
      </c>
      <c r="CD48" s="7" t="s">
        <v>431</v>
      </c>
      <c r="CE48" s="7" t="s">
        <v>437</v>
      </c>
      <c r="CF48" s="7" t="s">
        <v>437</v>
      </c>
      <c r="CG48" s="7" t="s">
        <v>451</v>
      </c>
      <c r="CH48" s="7" t="s">
        <v>430</v>
      </c>
      <c r="CI48" s="7" t="s">
        <v>430</v>
      </c>
      <c r="CJ48" s="7" t="s">
        <v>430</v>
      </c>
      <c r="CK48" s="7" t="s">
        <v>452</v>
      </c>
      <c r="CL48" s="7" t="s">
        <v>428</v>
      </c>
      <c r="CM48" s="7" t="s">
        <v>453</v>
      </c>
      <c r="CN48" s="7" t="s">
        <v>431</v>
      </c>
      <c r="CO48" s="7" t="s">
        <v>431</v>
      </c>
      <c r="CP48" s="7" t="s">
        <v>431</v>
      </c>
      <c r="CQ48" s="7" t="s">
        <v>431</v>
      </c>
      <c r="CR48" s="7" t="s">
        <v>430</v>
      </c>
      <c r="CS48" s="7" t="s">
        <v>430</v>
      </c>
      <c r="CT48" s="7" t="s">
        <v>428</v>
      </c>
      <c r="CU48" s="7" t="s">
        <v>428</v>
      </c>
      <c r="CV48" s="7" t="s">
        <v>435</v>
      </c>
      <c r="CW48" s="7" t="s">
        <v>445</v>
      </c>
      <c r="CX48" s="7" t="s">
        <v>435</v>
      </c>
      <c r="CY48" s="7" t="s">
        <v>433</v>
      </c>
      <c r="CZ48" s="7" t="s">
        <v>434</v>
      </c>
      <c r="DA48" s="7" t="s">
        <v>445</v>
      </c>
      <c r="DB48" s="64" t="s">
        <v>430</v>
      </c>
      <c r="DC48" s="7" t="s">
        <v>428</v>
      </c>
      <c r="DD48" s="7" t="s">
        <v>428</v>
      </c>
      <c r="DE48" s="7" t="s">
        <v>428</v>
      </c>
      <c r="DF48" s="7" t="s">
        <v>428</v>
      </c>
      <c r="DG48" s="7" t="s">
        <v>428</v>
      </c>
      <c r="DH48" s="7" t="s">
        <v>430</v>
      </c>
      <c r="DI48" s="7" t="s">
        <v>431</v>
      </c>
      <c r="DJ48" s="7" t="s">
        <v>428</v>
      </c>
      <c r="DK48" s="7" t="s">
        <v>431</v>
      </c>
      <c r="DL48" s="7" t="s">
        <v>431</v>
      </c>
      <c r="DM48" s="7" t="s">
        <v>430</v>
      </c>
      <c r="DN48" s="7" t="s">
        <v>430</v>
      </c>
      <c r="DO48" s="7" t="s">
        <v>431</v>
      </c>
      <c r="DP48" s="7" t="s">
        <v>430</v>
      </c>
      <c r="DQ48" s="7" t="s">
        <v>454</v>
      </c>
      <c r="DR48" s="7" t="s">
        <v>428</v>
      </c>
      <c r="DS48" s="7" t="s">
        <v>455</v>
      </c>
      <c r="DT48" s="12" t="s">
        <v>437</v>
      </c>
      <c r="DU48" s="7" t="s">
        <v>446</v>
      </c>
      <c r="DV48" s="7" t="s">
        <v>439</v>
      </c>
      <c r="DW48" s="7" t="s">
        <v>439</v>
      </c>
      <c r="DX48" s="7" t="s">
        <v>432</v>
      </c>
      <c r="DY48" s="7" t="s">
        <v>443</v>
      </c>
      <c r="DZ48" s="7" t="s">
        <v>445</v>
      </c>
      <c r="EA48" s="7" t="s">
        <v>428</v>
      </c>
    </row>
    <row r="49" spans="1:131" x14ac:dyDescent="0.3">
      <c r="A49" s="62" t="s">
        <v>456</v>
      </c>
      <c r="B49" s="7">
        <v>12.7</v>
      </c>
      <c r="C49" s="7">
        <v>10.07</v>
      </c>
      <c r="D49" s="7">
        <v>5.8</v>
      </c>
      <c r="E49" s="7">
        <v>10.07</v>
      </c>
      <c r="F49" s="7">
        <v>10.07</v>
      </c>
      <c r="G49" s="7">
        <v>10</v>
      </c>
      <c r="H49" s="7">
        <v>10</v>
      </c>
      <c r="I49" s="7">
        <v>10.07</v>
      </c>
      <c r="J49" s="7">
        <v>10.07</v>
      </c>
      <c r="K49" s="7">
        <v>10.07</v>
      </c>
      <c r="L49" s="7">
        <v>10.07</v>
      </c>
      <c r="M49" s="7">
        <v>10.07</v>
      </c>
      <c r="N49" s="7">
        <v>10.07</v>
      </c>
      <c r="O49" s="7">
        <v>10.07</v>
      </c>
      <c r="P49" s="7">
        <v>3.8</v>
      </c>
      <c r="Q49" s="7">
        <v>10.08</v>
      </c>
      <c r="R49" s="7">
        <v>10.07</v>
      </c>
      <c r="S49" s="7">
        <v>10.07</v>
      </c>
      <c r="T49" s="7">
        <v>8</v>
      </c>
      <c r="U49" s="7">
        <v>10.07</v>
      </c>
      <c r="V49" s="7">
        <v>10.07</v>
      </c>
      <c r="W49" s="7">
        <v>10.07</v>
      </c>
      <c r="X49" s="7">
        <v>10.07</v>
      </c>
      <c r="Y49" s="7">
        <v>10.07</v>
      </c>
      <c r="Z49" s="7">
        <v>10.07</v>
      </c>
      <c r="AA49" s="7">
        <v>10.07</v>
      </c>
      <c r="AB49" s="7">
        <v>10.07</v>
      </c>
      <c r="AC49" s="7">
        <v>10.07</v>
      </c>
      <c r="AD49" s="7">
        <v>12</v>
      </c>
      <c r="AE49" s="7">
        <v>10.07</v>
      </c>
      <c r="AF49" s="7">
        <v>10.07</v>
      </c>
      <c r="AG49" s="7">
        <v>10.07</v>
      </c>
      <c r="AH49" s="7">
        <v>10.07</v>
      </c>
      <c r="AI49" s="7">
        <v>4</v>
      </c>
      <c r="AJ49" s="7">
        <v>6.5</v>
      </c>
      <c r="AK49" s="7">
        <v>6</v>
      </c>
      <c r="AL49" s="7">
        <v>16</v>
      </c>
      <c r="AM49" s="7">
        <v>14</v>
      </c>
      <c r="AN49" s="7">
        <v>11.5</v>
      </c>
      <c r="AO49" s="7">
        <v>11.8</v>
      </c>
      <c r="AP49" s="7">
        <v>3</v>
      </c>
      <c r="AQ49" s="7">
        <v>12</v>
      </c>
      <c r="AR49" s="7">
        <v>11.5</v>
      </c>
      <c r="AS49" s="7">
        <v>7.8</v>
      </c>
      <c r="AT49" s="7">
        <v>10</v>
      </c>
      <c r="AU49" s="7">
        <v>4</v>
      </c>
      <c r="AV49" s="12">
        <v>12</v>
      </c>
      <c r="AW49" s="65">
        <v>44968</v>
      </c>
      <c r="AX49" s="7">
        <v>14</v>
      </c>
      <c r="AY49" s="7">
        <v>7</v>
      </c>
      <c r="AZ49" s="7">
        <v>4</v>
      </c>
      <c r="BA49" s="7">
        <v>8.5</v>
      </c>
      <c r="BB49" s="12">
        <v>13.5</v>
      </c>
      <c r="BC49" s="7">
        <v>5.5</v>
      </c>
      <c r="BD49" s="7">
        <v>5.5</v>
      </c>
      <c r="BE49" s="7">
        <v>4</v>
      </c>
      <c r="BF49" s="7">
        <v>12</v>
      </c>
      <c r="BG49" s="7">
        <v>12</v>
      </c>
      <c r="BH49" s="12">
        <v>4.2</v>
      </c>
      <c r="BI49" s="63">
        <v>5</v>
      </c>
      <c r="BJ49" s="64">
        <v>8</v>
      </c>
      <c r="BK49" s="7">
        <v>20.399999999999999</v>
      </c>
      <c r="BL49" s="7">
        <v>6</v>
      </c>
      <c r="BM49" s="7">
        <v>4</v>
      </c>
      <c r="BN49" s="7">
        <v>9.09</v>
      </c>
      <c r="BO49" s="7">
        <v>12</v>
      </c>
      <c r="BP49" s="7">
        <v>24</v>
      </c>
      <c r="BQ49" s="7">
        <v>20</v>
      </c>
      <c r="BR49" s="7">
        <v>72</v>
      </c>
      <c r="BS49" s="7">
        <v>9.1</v>
      </c>
      <c r="BT49" s="7">
        <v>45</v>
      </c>
      <c r="BU49" s="7">
        <v>8</v>
      </c>
      <c r="BV49" s="7">
        <v>5.5</v>
      </c>
      <c r="BW49" s="7">
        <v>4.5999999999999996</v>
      </c>
      <c r="BX49" s="7">
        <v>8</v>
      </c>
      <c r="BY49" s="7">
        <v>8</v>
      </c>
      <c r="BZ49" s="7">
        <v>7</v>
      </c>
      <c r="CA49" s="7">
        <v>37.700000000000003</v>
      </c>
      <c r="CB49" s="7">
        <v>3</v>
      </c>
      <c r="CC49" s="7">
        <v>6</v>
      </c>
      <c r="CD49" s="7">
        <v>2</v>
      </c>
      <c r="CE49" s="7">
        <v>2.8</v>
      </c>
      <c r="CF49" s="7">
        <v>5.8</v>
      </c>
      <c r="CG49" s="7">
        <v>4</v>
      </c>
      <c r="CH49" s="7">
        <v>4</v>
      </c>
      <c r="CI49" s="7">
        <v>7</v>
      </c>
      <c r="CJ49" s="7">
        <v>2.2000000000000002</v>
      </c>
      <c r="CK49" s="7">
        <v>6.9</v>
      </c>
      <c r="CL49" s="7">
        <v>12</v>
      </c>
      <c r="CM49" s="7">
        <v>7.1</v>
      </c>
      <c r="CN49" s="7">
        <v>17.8</v>
      </c>
      <c r="CO49" s="7">
        <v>5</v>
      </c>
      <c r="CP49" s="7">
        <v>10</v>
      </c>
      <c r="CQ49" s="7">
        <v>22</v>
      </c>
      <c r="CR49" s="7">
        <v>3</v>
      </c>
      <c r="CS49" s="7">
        <v>16</v>
      </c>
      <c r="CT49" s="7">
        <v>4</v>
      </c>
      <c r="CU49" s="7">
        <v>4.5</v>
      </c>
      <c r="CV49" s="7">
        <v>15</v>
      </c>
      <c r="CW49" s="7">
        <v>5</v>
      </c>
      <c r="CX49" s="7">
        <v>17</v>
      </c>
      <c r="CY49" s="7">
        <v>18</v>
      </c>
      <c r="CZ49" s="7">
        <v>4</v>
      </c>
      <c r="DA49" s="7">
        <v>3</v>
      </c>
      <c r="DB49" s="64">
        <v>8</v>
      </c>
      <c r="DC49" s="7">
        <v>16</v>
      </c>
      <c r="DD49" s="7">
        <v>8</v>
      </c>
      <c r="DE49" s="7">
        <v>12.5</v>
      </c>
      <c r="DF49" s="7">
        <v>12.9</v>
      </c>
      <c r="DG49" s="7">
        <v>4</v>
      </c>
      <c r="DH49" s="7">
        <v>4</v>
      </c>
      <c r="DI49" s="7">
        <v>10</v>
      </c>
      <c r="DJ49" s="7">
        <v>8</v>
      </c>
      <c r="DK49" s="7">
        <v>3</v>
      </c>
      <c r="DL49" s="14">
        <v>4</v>
      </c>
      <c r="DM49" s="7">
        <v>4</v>
      </c>
      <c r="DN49" s="7">
        <v>2</v>
      </c>
      <c r="DO49" s="7">
        <v>6</v>
      </c>
      <c r="DP49" s="7">
        <v>4</v>
      </c>
      <c r="DQ49" s="7">
        <v>10</v>
      </c>
      <c r="DR49" s="7">
        <v>4</v>
      </c>
      <c r="DS49" s="7">
        <v>3.97</v>
      </c>
      <c r="DT49" s="12">
        <v>9.1999999999999993</v>
      </c>
      <c r="DU49" s="7">
        <v>7.6</v>
      </c>
      <c r="DV49" s="7">
        <v>3.5</v>
      </c>
      <c r="DW49" s="7">
        <v>3.3</v>
      </c>
      <c r="DX49" s="7">
        <v>8</v>
      </c>
      <c r="DY49" s="7">
        <v>3</v>
      </c>
      <c r="DZ49" s="7">
        <v>6.7</v>
      </c>
      <c r="EA49" s="7">
        <v>9</v>
      </c>
    </row>
    <row r="50" spans="1:131" x14ac:dyDescent="0.3">
      <c r="A50" s="62" t="s">
        <v>457</v>
      </c>
      <c r="B50" s="7">
        <v>9.5</v>
      </c>
      <c r="C50" s="7">
        <v>6.87</v>
      </c>
      <c r="D50" s="7">
        <v>5.3</v>
      </c>
      <c r="E50" s="7">
        <v>10.07</v>
      </c>
      <c r="F50" s="7">
        <v>10.7</v>
      </c>
      <c r="G50" s="7">
        <v>3.9</v>
      </c>
      <c r="H50" s="7">
        <v>8.5</v>
      </c>
      <c r="I50" s="7">
        <v>10</v>
      </c>
      <c r="J50" s="7">
        <v>10</v>
      </c>
      <c r="K50" s="7">
        <v>8</v>
      </c>
      <c r="L50" s="7">
        <v>9.6999999999999993</v>
      </c>
      <c r="M50" s="7">
        <v>7</v>
      </c>
      <c r="N50" s="7">
        <v>9</v>
      </c>
      <c r="O50" s="7">
        <v>8</v>
      </c>
      <c r="P50" s="7">
        <v>3.8</v>
      </c>
      <c r="Q50" s="7">
        <v>10</v>
      </c>
      <c r="R50" s="7">
        <v>7.7</v>
      </c>
      <c r="S50" s="7">
        <v>9.3000000000000007</v>
      </c>
      <c r="T50" s="7">
        <v>4.8</v>
      </c>
      <c r="U50" s="7">
        <v>7.74</v>
      </c>
      <c r="V50" s="7">
        <v>10</v>
      </c>
      <c r="W50" s="7">
        <v>9.4700000000000006</v>
      </c>
      <c r="X50" s="7">
        <v>10</v>
      </c>
      <c r="Y50" s="7">
        <v>10.7</v>
      </c>
      <c r="Z50" s="7">
        <v>10</v>
      </c>
      <c r="AA50" s="7">
        <v>4</v>
      </c>
      <c r="AB50" s="7">
        <v>10</v>
      </c>
      <c r="AC50" s="7">
        <v>8</v>
      </c>
      <c r="AD50" s="7">
        <v>12</v>
      </c>
      <c r="AE50" s="7">
        <v>4.8</v>
      </c>
      <c r="AF50" s="7">
        <v>9.5</v>
      </c>
      <c r="AG50" s="7">
        <v>8</v>
      </c>
      <c r="AH50" s="7">
        <v>8.6999999999999993</v>
      </c>
      <c r="AI50" s="7">
        <v>3</v>
      </c>
      <c r="AJ50" s="7">
        <v>2</v>
      </c>
      <c r="AK50" s="7">
        <v>4.5</v>
      </c>
      <c r="AL50" s="7">
        <v>10</v>
      </c>
      <c r="AM50" s="7">
        <v>10</v>
      </c>
      <c r="AN50" s="7">
        <v>8</v>
      </c>
      <c r="AO50" s="7">
        <v>11</v>
      </c>
      <c r="AP50" s="7">
        <v>1</v>
      </c>
      <c r="AQ50" s="7">
        <v>10</v>
      </c>
      <c r="AR50" s="7">
        <v>6</v>
      </c>
      <c r="AS50" s="7">
        <v>5</v>
      </c>
      <c r="AT50" s="7">
        <v>8</v>
      </c>
      <c r="AU50" s="7">
        <v>3.5</v>
      </c>
      <c r="AV50" s="12">
        <v>10.5</v>
      </c>
      <c r="AW50" s="7">
        <v>8</v>
      </c>
      <c r="AX50" s="7">
        <v>5</v>
      </c>
      <c r="AY50" s="7">
        <v>5</v>
      </c>
      <c r="AZ50" s="7">
        <v>4</v>
      </c>
      <c r="BA50" s="7">
        <v>3</v>
      </c>
      <c r="BB50" s="12">
        <v>7</v>
      </c>
      <c r="BC50" s="7">
        <v>5</v>
      </c>
      <c r="BD50" s="7">
        <v>5.3</v>
      </c>
      <c r="BE50" s="7">
        <v>1.72</v>
      </c>
      <c r="BF50" s="7">
        <v>9</v>
      </c>
      <c r="BG50" s="7">
        <v>4</v>
      </c>
      <c r="BH50" s="12">
        <v>2</v>
      </c>
      <c r="BI50" s="63" t="s">
        <v>458</v>
      </c>
      <c r="BJ50" s="64">
        <v>7.2</v>
      </c>
      <c r="BK50" s="7">
        <v>12</v>
      </c>
      <c r="BL50" s="7">
        <v>4</v>
      </c>
      <c r="BM50" s="7">
        <v>3.5</v>
      </c>
      <c r="BN50" s="7">
        <v>7</v>
      </c>
      <c r="BO50" s="7">
        <v>10</v>
      </c>
      <c r="BP50" s="7">
        <v>3</v>
      </c>
      <c r="BQ50" s="7">
        <v>8</v>
      </c>
      <c r="BR50" s="65">
        <v>45117</v>
      </c>
      <c r="BS50" s="7">
        <v>6</v>
      </c>
      <c r="BT50" s="7">
        <v>30</v>
      </c>
      <c r="BU50" s="7">
        <v>3</v>
      </c>
      <c r="BV50" s="7">
        <v>4</v>
      </c>
      <c r="BW50" s="7">
        <v>3</v>
      </c>
      <c r="BX50" s="7">
        <v>6</v>
      </c>
      <c r="BY50" s="7">
        <v>4</v>
      </c>
      <c r="BZ50" s="7">
        <v>6</v>
      </c>
      <c r="CA50" s="7">
        <v>30</v>
      </c>
      <c r="CB50" s="7">
        <v>2</v>
      </c>
      <c r="CC50" s="7">
        <v>5</v>
      </c>
      <c r="CD50" s="7">
        <v>1.5</v>
      </c>
      <c r="CE50" s="7">
        <v>2.1</v>
      </c>
      <c r="CF50" s="7">
        <v>3</v>
      </c>
      <c r="CG50" s="7">
        <v>3.1</v>
      </c>
      <c r="CH50" s="7">
        <v>4</v>
      </c>
      <c r="CI50" s="7">
        <v>6</v>
      </c>
      <c r="CJ50" s="7">
        <v>2</v>
      </c>
      <c r="CK50" s="7">
        <v>6.5</v>
      </c>
      <c r="CL50" s="7">
        <v>12</v>
      </c>
      <c r="CM50" s="7">
        <v>5</v>
      </c>
      <c r="CN50" s="7">
        <v>14</v>
      </c>
      <c r="CO50" s="7">
        <v>4</v>
      </c>
      <c r="CP50" s="7">
        <v>2</v>
      </c>
      <c r="CQ50" s="7">
        <v>8</v>
      </c>
      <c r="CR50" s="7">
        <v>3</v>
      </c>
      <c r="CS50" s="7">
        <v>11</v>
      </c>
      <c r="CT50" s="7">
        <v>3.8</v>
      </c>
      <c r="CU50" s="7">
        <v>4</v>
      </c>
      <c r="CV50" s="7">
        <v>15</v>
      </c>
      <c r="CW50" s="7">
        <v>5</v>
      </c>
      <c r="CX50" s="7">
        <v>10</v>
      </c>
      <c r="CY50" s="7">
        <v>18</v>
      </c>
      <c r="CZ50" s="7">
        <v>4</v>
      </c>
      <c r="DA50" s="7">
        <v>3</v>
      </c>
      <c r="DB50" s="64">
        <v>4</v>
      </c>
      <c r="DC50" s="7">
        <v>6</v>
      </c>
      <c r="DD50" s="7">
        <v>6</v>
      </c>
      <c r="DE50" s="7">
        <v>5</v>
      </c>
      <c r="DF50" s="7">
        <v>9.9</v>
      </c>
      <c r="DG50" s="7">
        <v>3.5</v>
      </c>
      <c r="DH50" s="7">
        <v>3.5</v>
      </c>
      <c r="DI50" s="7">
        <v>8</v>
      </c>
      <c r="DJ50" s="7">
        <v>7.8</v>
      </c>
      <c r="DK50" s="7">
        <v>2.5</v>
      </c>
      <c r="DL50" s="7">
        <v>3</v>
      </c>
      <c r="DM50" s="7">
        <v>3</v>
      </c>
      <c r="DN50" s="7">
        <v>1.5</v>
      </c>
      <c r="DO50" s="7">
        <v>2</v>
      </c>
      <c r="DP50" s="7">
        <v>1.4</v>
      </c>
      <c r="DQ50" s="7">
        <v>7</v>
      </c>
      <c r="DR50" s="7">
        <v>3.8</v>
      </c>
      <c r="DS50" s="7">
        <v>3.5</v>
      </c>
      <c r="DT50" s="12">
        <v>7</v>
      </c>
      <c r="DU50" s="7">
        <v>7.5</v>
      </c>
      <c r="DV50" s="7">
        <v>3.2</v>
      </c>
      <c r="DW50" s="7">
        <v>3</v>
      </c>
      <c r="DX50" s="7">
        <v>7</v>
      </c>
      <c r="DY50" s="7">
        <v>2.5</v>
      </c>
      <c r="DZ50" s="7">
        <v>6.7</v>
      </c>
      <c r="EA50" s="7">
        <v>8.5</v>
      </c>
    </row>
    <row r="51" spans="1:131" x14ac:dyDescent="0.3">
      <c r="A51" s="62" t="s">
        <v>459</v>
      </c>
      <c r="B51" s="7">
        <v>0</v>
      </c>
      <c r="C51" s="7">
        <v>0.2</v>
      </c>
      <c r="D51" s="7">
        <v>0</v>
      </c>
      <c r="E51" s="7">
        <v>0</v>
      </c>
      <c r="F51" s="7">
        <v>0</v>
      </c>
      <c r="G51" s="7">
        <v>0</v>
      </c>
      <c r="H51" s="7">
        <v>0</v>
      </c>
      <c r="I51" s="7"/>
      <c r="J51" s="7"/>
      <c r="K51" s="7"/>
      <c r="L51" s="7"/>
      <c r="M51" s="7"/>
      <c r="N51" s="7"/>
      <c r="O51" s="7"/>
      <c r="P51" s="7"/>
      <c r="Q51" s="7"/>
      <c r="R51" s="7">
        <v>0</v>
      </c>
      <c r="S51" s="7">
        <v>0</v>
      </c>
      <c r="T51" s="7">
        <v>0</v>
      </c>
      <c r="U51" s="7">
        <v>0</v>
      </c>
      <c r="V51" s="7"/>
      <c r="W51" s="7">
        <v>0</v>
      </c>
      <c r="X51" s="7">
        <v>0</v>
      </c>
      <c r="Y51" s="7">
        <v>0</v>
      </c>
      <c r="Z51" s="7">
        <v>0</v>
      </c>
      <c r="AA51" s="7">
        <v>0</v>
      </c>
      <c r="AB51" s="7">
        <v>0</v>
      </c>
      <c r="AC51" s="7">
        <v>0</v>
      </c>
      <c r="AD51" s="7">
        <v>0</v>
      </c>
      <c r="AE51" s="7">
        <v>0</v>
      </c>
      <c r="AF51" s="7">
        <v>0</v>
      </c>
      <c r="AG51" s="7">
        <v>0</v>
      </c>
      <c r="AH51" s="7">
        <v>0</v>
      </c>
      <c r="AI51" s="7"/>
      <c r="AJ51" s="7"/>
      <c r="AK51" s="7"/>
      <c r="AL51" s="7">
        <v>1</v>
      </c>
      <c r="AM51" s="7"/>
      <c r="AN51" s="7"/>
      <c r="AO51" s="7"/>
      <c r="AP51" s="7"/>
      <c r="AQ51" s="7">
        <v>5</v>
      </c>
      <c r="AR51" s="7"/>
      <c r="AS51" s="7"/>
      <c r="AT51" s="7"/>
      <c r="AU51" s="7"/>
      <c r="AV51" s="12">
        <v>0</v>
      </c>
      <c r="AW51" s="7">
        <v>0</v>
      </c>
      <c r="AX51" s="7">
        <v>3</v>
      </c>
      <c r="AY51" s="7">
        <v>0</v>
      </c>
      <c r="AZ51" s="7">
        <v>0</v>
      </c>
      <c r="BA51" s="7">
        <v>0</v>
      </c>
      <c r="BB51" s="12">
        <v>0</v>
      </c>
      <c r="BC51" s="7" t="s">
        <v>460</v>
      </c>
      <c r="BD51" s="7" t="s">
        <v>460</v>
      </c>
      <c r="BE51" s="7">
        <v>0</v>
      </c>
      <c r="BF51" s="7">
        <v>0</v>
      </c>
      <c r="BG51" s="7">
        <v>0</v>
      </c>
      <c r="BH51" s="12">
        <v>0</v>
      </c>
      <c r="BI51" s="63">
        <v>0</v>
      </c>
      <c r="BJ51" s="64">
        <v>0</v>
      </c>
      <c r="BK51" s="7">
        <v>0</v>
      </c>
      <c r="BL51" s="7">
        <v>0</v>
      </c>
      <c r="BM51" s="7">
        <v>0</v>
      </c>
      <c r="BN51" s="7">
        <v>2</v>
      </c>
      <c r="BO51" s="7">
        <v>1</v>
      </c>
      <c r="BP51" s="7">
        <v>0</v>
      </c>
      <c r="BQ51" s="7">
        <v>0</v>
      </c>
      <c r="BR51" s="7">
        <v>0</v>
      </c>
      <c r="BS51" s="7">
        <v>0</v>
      </c>
      <c r="BT51" s="7">
        <v>0</v>
      </c>
      <c r="BU51" s="7">
        <v>0</v>
      </c>
      <c r="BV51" s="7">
        <v>0</v>
      </c>
      <c r="BW51" s="7">
        <v>0</v>
      </c>
      <c r="BX51" s="7">
        <v>0.5</v>
      </c>
      <c r="BY51" s="7">
        <v>0</v>
      </c>
      <c r="BZ51" s="7">
        <v>0</v>
      </c>
      <c r="CA51" s="7">
        <v>0</v>
      </c>
      <c r="CB51" s="7">
        <v>2</v>
      </c>
      <c r="CC51" s="7">
        <v>0</v>
      </c>
      <c r="CD51" s="7">
        <v>1.5</v>
      </c>
      <c r="CE51" s="7">
        <v>0</v>
      </c>
      <c r="CF51" s="7">
        <v>0</v>
      </c>
      <c r="CG51" s="7">
        <v>0</v>
      </c>
      <c r="CH51" s="7">
        <v>0</v>
      </c>
      <c r="CI51" s="7">
        <v>0</v>
      </c>
      <c r="CJ51" s="7">
        <v>0</v>
      </c>
      <c r="CK51" s="7">
        <v>0.2</v>
      </c>
      <c r="CL51" s="7">
        <v>0</v>
      </c>
      <c r="CM51" s="7">
        <v>0</v>
      </c>
      <c r="CN51" s="7"/>
      <c r="CO51" s="7"/>
      <c r="CP51" s="7"/>
      <c r="CQ51" s="7"/>
      <c r="CR51" s="7"/>
      <c r="CS51" s="7">
        <v>1</v>
      </c>
      <c r="CT51" s="7">
        <v>2</v>
      </c>
      <c r="CU51" s="7">
        <v>2</v>
      </c>
      <c r="CV51" s="7">
        <v>0</v>
      </c>
      <c r="CW51" s="7">
        <v>0</v>
      </c>
      <c r="CX51" s="7">
        <v>0</v>
      </c>
      <c r="CY51" s="7">
        <v>0</v>
      </c>
      <c r="CZ51" s="7">
        <v>0</v>
      </c>
      <c r="DA51" s="7">
        <v>0</v>
      </c>
      <c r="DB51" s="64">
        <v>0</v>
      </c>
      <c r="DC51" s="7">
        <v>0</v>
      </c>
      <c r="DD51" s="7">
        <v>0</v>
      </c>
      <c r="DE51" s="7">
        <v>3</v>
      </c>
      <c r="DF51" s="7">
        <v>0</v>
      </c>
      <c r="DG51" s="7">
        <v>0</v>
      </c>
      <c r="DH51" s="7">
        <v>0</v>
      </c>
      <c r="DI51" s="7">
        <v>0</v>
      </c>
      <c r="DJ51" s="7">
        <v>0</v>
      </c>
      <c r="DK51" s="7">
        <v>0</v>
      </c>
      <c r="DL51" s="7"/>
      <c r="DM51" s="7"/>
      <c r="DN51" s="7"/>
      <c r="DO51" s="7"/>
      <c r="DP51" s="7">
        <v>0</v>
      </c>
      <c r="DQ51" s="7">
        <v>0</v>
      </c>
      <c r="DR51" s="7">
        <v>0</v>
      </c>
      <c r="DS51" s="7">
        <v>0</v>
      </c>
      <c r="DT51" s="12">
        <v>0.5</v>
      </c>
      <c r="DU51" s="7">
        <v>1</v>
      </c>
      <c r="DV51" s="7">
        <v>0</v>
      </c>
      <c r="DW51" s="7">
        <v>0</v>
      </c>
      <c r="DX51" s="7">
        <v>0</v>
      </c>
      <c r="DY51" s="7">
        <v>0</v>
      </c>
      <c r="DZ51" s="7">
        <v>0.5</v>
      </c>
      <c r="EA51" s="7">
        <v>0.5</v>
      </c>
    </row>
    <row r="52" spans="1:131" x14ac:dyDescent="0.3">
      <c r="A52" s="62" t="s">
        <v>461</v>
      </c>
      <c r="B52" s="7">
        <v>0</v>
      </c>
      <c r="C52" s="7">
        <v>2</v>
      </c>
      <c r="D52" s="7">
        <v>0</v>
      </c>
      <c r="E52" s="7">
        <v>0</v>
      </c>
      <c r="F52" s="7">
        <v>0</v>
      </c>
      <c r="G52" s="7">
        <v>0</v>
      </c>
      <c r="H52" s="7">
        <v>1</v>
      </c>
      <c r="I52" s="7"/>
      <c r="J52" s="7"/>
      <c r="K52" s="7"/>
      <c r="L52" s="7"/>
      <c r="M52" s="7"/>
      <c r="N52" s="7"/>
      <c r="O52" s="7"/>
      <c r="P52" s="7">
        <v>3.8</v>
      </c>
      <c r="Q52" s="7"/>
      <c r="R52" s="7">
        <v>0</v>
      </c>
      <c r="S52" s="7">
        <v>0</v>
      </c>
      <c r="T52" s="7">
        <v>1</v>
      </c>
      <c r="U52" s="7">
        <v>0</v>
      </c>
      <c r="V52" s="7"/>
      <c r="W52" s="7">
        <v>0</v>
      </c>
      <c r="X52" s="7">
        <v>0</v>
      </c>
      <c r="Y52" s="7">
        <v>0</v>
      </c>
      <c r="Z52" s="7">
        <v>0</v>
      </c>
      <c r="AA52" s="7">
        <v>0</v>
      </c>
      <c r="AB52" s="7">
        <v>0</v>
      </c>
      <c r="AC52" s="7">
        <v>0</v>
      </c>
      <c r="AD52" s="7">
        <v>0</v>
      </c>
      <c r="AE52" s="7">
        <v>0</v>
      </c>
      <c r="AF52" s="7">
        <v>0</v>
      </c>
      <c r="AG52" s="7">
        <v>0.5</v>
      </c>
      <c r="AH52" s="7">
        <v>0</v>
      </c>
      <c r="AI52" s="7"/>
      <c r="AJ52" s="7"/>
      <c r="AK52" s="7"/>
      <c r="AL52" s="7">
        <v>0</v>
      </c>
      <c r="AM52" s="7"/>
      <c r="AN52" s="7">
        <v>2</v>
      </c>
      <c r="AO52" s="7">
        <v>3</v>
      </c>
      <c r="AP52" s="7"/>
      <c r="AQ52" s="7"/>
      <c r="AR52" s="7"/>
      <c r="AS52" s="7"/>
      <c r="AT52" s="7"/>
      <c r="AU52" s="7"/>
      <c r="AV52" s="12">
        <v>0</v>
      </c>
      <c r="AW52" s="7">
        <v>0</v>
      </c>
      <c r="AX52" s="7">
        <v>2</v>
      </c>
      <c r="AY52" s="7">
        <v>0</v>
      </c>
      <c r="AZ52" s="7">
        <v>0</v>
      </c>
      <c r="BA52" s="7">
        <v>0</v>
      </c>
      <c r="BB52" s="12">
        <v>0</v>
      </c>
      <c r="BC52" s="7" t="s">
        <v>460</v>
      </c>
      <c r="BD52" s="7">
        <v>0</v>
      </c>
      <c r="BE52" s="7">
        <v>0</v>
      </c>
      <c r="BF52" s="7">
        <v>0</v>
      </c>
      <c r="BG52" s="7">
        <v>0</v>
      </c>
      <c r="BH52" s="12">
        <v>0</v>
      </c>
      <c r="BI52" s="63">
        <v>0</v>
      </c>
      <c r="BJ52" s="64">
        <v>0</v>
      </c>
      <c r="BK52" s="7">
        <v>0</v>
      </c>
      <c r="BL52" s="7">
        <v>0</v>
      </c>
      <c r="BM52" s="7">
        <v>0</v>
      </c>
      <c r="BN52" s="7">
        <v>0</v>
      </c>
      <c r="BO52" s="7">
        <v>0</v>
      </c>
      <c r="BP52" s="7">
        <v>0</v>
      </c>
      <c r="BQ52" s="7">
        <v>0</v>
      </c>
      <c r="BR52" s="7">
        <v>0</v>
      </c>
      <c r="BS52" s="7">
        <v>0</v>
      </c>
      <c r="BT52" s="7">
        <v>0</v>
      </c>
      <c r="BU52" s="7">
        <v>0</v>
      </c>
      <c r="BV52" s="7">
        <v>0</v>
      </c>
      <c r="BW52" s="7">
        <v>0</v>
      </c>
      <c r="BX52" s="7">
        <v>0</v>
      </c>
      <c r="BY52" s="7">
        <v>0</v>
      </c>
      <c r="BZ52" s="7">
        <v>0</v>
      </c>
      <c r="CA52" s="7">
        <v>0</v>
      </c>
      <c r="CB52" s="7">
        <v>0</v>
      </c>
      <c r="CC52" s="7">
        <v>0</v>
      </c>
      <c r="CD52" s="7">
        <v>0</v>
      </c>
      <c r="CE52" s="7">
        <v>0.2</v>
      </c>
      <c r="CF52" s="7">
        <v>0</v>
      </c>
      <c r="CG52" s="7">
        <v>0</v>
      </c>
      <c r="CH52" s="7">
        <v>0</v>
      </c>
      <c r="CI52" s="7">
        <v>0</v>
      </c>
      <c r="CJ52" s="7">
        <v>0</v>
      </c>
      <c r="CK52" s="7">
        <v>0.5</v>
      </c>
      <c r="CL52" s="7">
        <v>5</v>
      </c>
      <c r="CM52" s="7">
        <v>0</v>
      </c>
      <c r="CN52" s="7"/>
      <c r="CO52" s="7"/>
      <c r="CP52" s="7"/>
      <c r="CQ52" s="7">
        <v>8</v>
      </c>
      <c r="CR52" s="7"/>
      <c r="CS52" s="7">
        <v>0</v>
      </c>
      <c r="CT52" s="7">
        <v>1</v>
      </c>
      <c r="CU52" s="7">
        <v>0.25</v>
      </c>
      <c r="CV52" s="7">
        <v>3</v>
      </c>
      <c r="CW52" s="7">
        <v>0</v>
      </c>
      <c r="CX52" s="7">
        <v>0</v>
      </c>
      <c r="CY52" s="7">
        <v>0</v>
      </c>
      <c r="CZ52" s="7">
        <v>2</v>
      </c>
      <c r="DA52" s="7">
        <v>1.5</v>
      </c>
      <c r="DB52" s="64">
        <v>1</v>
      </c>
      <c r="DC52" s="7">
        <v>0</v>
      </c>
      <c r="DD52" s="7">
        <v>0</v>
      </c>
      <c r="DE52" s="7">
        <v>3</v>
      </c>
      <c r="DF52" s="7">
        <v>2</v>
      </c>
      <c r="DG52" s="7">
        <v>0</v>
      </c>
      <c r="DH52" s="7">
        <v>0</v>
      </c>
      <c r="DI52" s="7">
        <v>0</v>
      </c>
      <c r="DJ52" s="7">
        <v>0</v>
      </c>
      <c r="DK52" s="7">
        <v>0</v>
      </c>
      <c r="DL52" s="7"/>
      <c r="DM52" s="7"/>
      <c r="DN52" s="7"/>
      <c r="DO52" s="7"/>
      <c r="DP52" s="7">
        <v>0.8</v>
      </c>
      <c r="DQ52" s="7">
        <v>0</v>
      </c>
      <c r="DR52" s="7">
        <v>0</v>
      </c>
      <c r="DS52" s="7">
        <v>0.3</v>
      </c>
      <c r="DT52" s="12">
        <v>2</v>
      </c>
      <c r="DU52" s="7">
        <v>1.2</v>
      </c>
      <c r="DV52" s="7">
        <v>0</v>
      </c>
      <c r="DW52" s="7">
        <v>6.25E-2</v>
      </c>
      <c r="DX52" s="7">
        <v>0</v>
      </c>
      <c r="DY52" s="7">
        <v>0</v>
      </c>
      <c r="DZ52" s="7">
        <v>0</v>
      </c>
      <c r="EA52" s="7">
        <v>3</v>
      </c>
    </row>
    <row r="53" spans="1:131" x14ac:dyDescent="0.3">
      <c r="A53" s="62" t="s">
        <v>462</v>
      </c>
      <c r="B53" s="7">
        <v>9.5</v>
      </c>
      <c r="C53" s="7">
        <v>6.87</v>
      </c>
      <c r="D53" s="7">
        <v>5.3</v>
      </c>
      <c r="E53" s="7">
        <v>10.07</v>
      </c>
      <c r="F53" s="7">
        <v>10.7</v>
      </c>
      <c r="G53" s="7">
        <v>3.9</v>
      </c>
      <c r="H53" s="7">
        <v>8.5</v>
      </c>
      <c r="I53" s="7">
        <v>10</v>
      </c>
      <c r="J53" s="7">
        <v>10</v>
      </c>
      <c r="K53" s="7">
        <v>8</v>
      </c>
      <c r="L53" s="7">
        <v>9.6999999999999993</v>
      </c>
      <c r="M53" s="7">
        <v>7</v>
      </c>
      <c r="N53" s="7">
        <v>9</v>
      </c>
      <c r="O53" s="7">
        <v>8</v>
      </c>
      <c r="P53" s="7"/>
      <c r="Q53" s="7">
        <v>10</v>
      </c>
      <c r="R53" s="7">
        <v>7.7</v>
      </c>
      <c r="S53" s="7">
        <v>9.3000000000000007</v>
      </c>
      <c r="T53" s="7">
        <v>3.8</v>
      </c>
      <c r="U53" s="7">
        <v>7.74</v>
      </c>
      <c r="V53" s="7">
        <v>10</v>
      </c>
      <c r="W53" s="7">
        <v>9.4700000000000006</v>
      </c>
      <c r="X53" s="7">
        <v>10</v>
      </c>
      <c r="Y53" s="7">
        <v>10.7</v>
      </c>
      <c r="Z53" s="7">
        <v>10</v>
      </c>
      <c r="AA53" s="7">
        <v>4</v>
      </c>
      <c r="AB53" s="7">
        <v>10</v>
      </c>
      <c r="AC53" s="7">
        <v>8</v>
      </c>
      <c r="AD53" s="7">
        <v>11</v>
      </c>
      <c r="AE53" s="7">
        <v>4.8</v>
      </c>
      <c r="AF53" s="7">
        <v>9.5</v>
      </c>
      <c r="AG53" s="7">
        <v>7.5</v>
      </c>
      <c r="AH53" s="7">
        <v>8.6999999999999993</v>
      </c>
      <c r="AI53" s="7">
        <v>3</v>
      </c>
      <c r="AJ53" s="7">
        <v>2</v>
      </c>
      <c r="AK53" s="7">
        <v>4.5</v>
      </c>
      <c r="AL53" s="7">
        <v>10</v>
      </c>
      <c r="AM53" s="7">
        <v>10</v>
      </c>
      <c r="AN53" s="7">
        <v>2</v>
      </c>
      <c r="AO53" s="7">
        <v>6</v>
      </c>
      <c r="AP53" s="7">
        <v>1</v>
      </c>
      <c r="AQ53" s="7">
        <v>5</v>
      </c>
      <c r="AR53" s="7">
        <v>6</v>
      </c>
      <c r="AS53" s="7">
        <v>5</v>
      </c>
      <c r="AT53" s="7">
        <v>8</v>
      </c>
      <c r="AU53" s="7">
        <v>3.5</v>
      </c>
      <c r="AV53" s="12">
        <v>10.5</v>
      </c>
      <c r="AW53" s="7">
        <v>8</v>
      </c>
      <c r="AX53" s="7">
        <v>5</v>
      </c>
      <c r="AY53" s="7">
        <v>7</v>
      </c>
      <c r="AZ53" s="7">
        <v>4</v>
      </c>
      <c r="BA53" s="7">
        <v>3.5</v>
      </c>
      <c r="BB53" s="12">
        <v>7</v>
      </c>
      <c r="BC53" s="7">
        <v>5</v>
      </c>
      <c r="BD53" s="7">
        <v>5.3</v>
      </c>
      <c r="BE53" s="7">
        <v>1.72</v>
      </c>
      <c r="BF53" s="7">
        <v>9</v>
      </c>
      <c r="BG53" s="7">
        <v>4</v>
      </c>
      <c r="BH53" s="12">
        <v>2</v>
      </c>
      <c r="BI53" s="63" t="s">
        <v>458</v>
      </c>
      <c r="BJ53" s="64">
        <v>7.2</v>
      </c>
      <c r="BK53" s="7">
        <v>12</v>
      </c>
      <c r="BL53" s="7">
        <v>4</v>
      </c>
      <c r="BM53" s="7">
        <v>3.5</v>
      </c>
      <c r="BN53" s="7">
        <v>5</v>
      </c>
      <c r="BO53" s="7">
        <v>10</v>
      </c>
      <c r="BP53" s="7">
        <v>3</v>
      </c>
      <c r="BQ53" s="7">
        <v>8</v>
      </c>
      <c r="BR53" s="65">
        <v>45117</v>
      </c>
      <c r="BS53" s="7">
        <v>6</v>
      </c>
      <c r="BT53" s="7">
        <v>22</v>
      </c>
      <c r="BU53" s="7">
        <v>3</v>
      </c>
      <c r="BV53" s="7">
        <v>4</v>
      </c>
      <c r="BW53" s="7">
        <v>3</v>
      </c>
      <c r="BX53" s="7">
        <v>6</v>
      </c>
      <c r="BY53" s="7">
        <v>4</v>
      </c>
      <c r="BZ53" s="7">
        <v>6</v>
      </c>
      <c r="CA53" s="7">
        <v>30</v>
      </c>
      <c r="CB53" s="7">
        <v>2</v>
      </c>
      <c r="CC53" s="7">
        <v>5</v>
      </c>
      <c r="CD53" s="7">
        <v>1.5</v>
      </c>
      <c r="CE53" s="7">
        <v>2.1</v>
      </c>
      <c r="CF53" s="7">
        <v>3</v>
      </c>
      <c r="CG53" s="7" t="s">
        <v>463</v>
      </c>
      <c r="CH53" s="7">
        <v>4</v>
      </c>
      <c r="CI53" s="7">
        <v>6</v>
      </c>
      <c r="CJ53" s="7">
        <v>2</v>
      </c>
      <c r="CK53" s="7"/>
      <c r="CL53" s="7">
        <v>5</v>
      </c>
      <c r="CM53" s="7">
        <v>5</v>
      </c>
      <c r="CN53" s="7">
        <v>14</v>
      </c>
      <c r="CO53" s="7">
        <v>4</v>
      </c>
      <c r="CP53" s="7">
        <v>2</v>
      </c>
      <c r="CQ53" s="7"/>
      <c r="CR53" s="7"/>
      <c r="CS53" s="7">
        <v>11</v>
      </c>
      <c r="CT53" s="7">
        <v>2.8</v>
      </c>
      <c r="CU53" s="7">
        <v>1.75</v>
      </c>
      <c r="CV53" s="7">
        <v>12</v>
      </c>
      <c r="CW53" s="7">
        <v>5</v>
      </c>
      <c r="CX53" s="7">
        <v>10</v>
      </c>
      <c r="CY53" s="7">
        <v>10</v>
      </c>
      <c r="CZ53" s="7">
        <v>1.5</v>
      </c>
      <c r="DA53" s="7">
        <v>1</v>
      </c>
      <c r="DB53" s="64">
        <v>3</v>
      </c>
      <c r="DC53" s="7">
        <v>6</v>
      </c>
      <c r="DD53" s="7">
        <v>6</v>
      </c>
      <c r="DE53" s="7">
        <v>5</v>
      </c>
      <c r="DF53" s="7">
        <v>9.9</v>
      </c>
      <c r="DG53" s="7">
        <v>3.5</v>
      </c>
      <c r="DH53" s="7">
        <v>3.5</v>
      </c>
      <c r="DI53" s="7">
        <v>8</v>
      </c>
      <c r="DJ53" s="7">
        <v>7.8</v>
      </c>
      <c r="DK53" s="7">
        <v>2.5</v>
      </c>
      <c r="DL53" s="7">
        <v>3</v>
      </c>
      <c r="DM53" s="7">
        <v>3</v>
      </c>
      <c r="DN53" s="7">
        <v>1.5</v>
      </c>
      <c r="DO53" s="7">
        <v>2</v>
      </c>
      <c r="DP53" s="7">
        <v>1.4</v>
      </c>
      <c r="DQ53" s="7">
        <v>7</v>
      </c>
      <c r="DR53" s="7">
        <v>3.8</v>
      </c>
      <c r="DS53" s="7">
        <v>3.67</v>
      </c>
      <c r="DT53" s="12">
        <v>7</v>
      </c>
      <c r="DU53" s="7">
        <v>5.3</v>
      </c>
      <c r="DV53" s="7">
        <v>3.2</v>
      </c>
      <c r="DW53" s="7">
        <v>2.9375</v>
      </c>
      <c r="DX53" s="7">
        <v>7</v>
      </c>
      <c r="DY53" s="7">
        <v>2.5</v>
      </c>
      <c r="DZ53" s="7">
        <v>6.7</v>
      </c>
      <c r="EA53" s="7">
        <v>5.5</v>
      </c>
    </row>
    <row r="54" spans="1:131" ht="28.8" x14ac:dyDescent="0.3">
      <c r="A54" s="62" t="s">
        <v>464</v>
      </c>
      <c r="B54" s="7">
        <v>0</v>
      </c>
      <c r="C54" s="7" t="s">
        <v>465</v>
      </c>
      <c r="D54" s="7">
        <v>0</v>
      </c>
      <c r="E54" s="7">
        <v>0</v>
      </c>
      <c r="F54" s="7">
        <v>0</v>
      </c>
      <c r="G54" s="7">
        <v>0</v>
      </c>
      <c r="H54" s="7" t="s">
        <v>466</v>
      </c>
      <c r="I54" s="7"/>
      <c r="J54" s="7"/>
      <c r="K54" s="7"/>
      <c r="L54" s="7"/>
      <c r="M54" s="7"/>
      <c r="N54" s="7"/>
      <c r="O54" s="7"/>
      <c r="P54" s="7" t="s">
        <v>467</v>
      </c>
      <c r="Q54" s="7"/>
      <c r="R54" s="7" t="s">
        <v>460</v>
      </c>
      <c r="S54" s="7" t="s">
        <v>460</v>
      </c>
      <c r="T54" s="7" t="s">
        <v>468</v>
      </c>
      <c r="U54" s="7">
        <v>0</v>
      </c>
      <c r="V54" s="7"/>
      <c r="W54" s="7" t="s">
        <v>460</v>
      </c>
      <c r="X54" s="10" t="s">
        <v>469</v>
      </c>
      <c r="Y54" s="10" t="s">
        <v>469</v>
      </c>
      <c r="Z54" s="10" t="s">
        <v>469</v>
      </c>
      <c r="AA54" s="10" t="s">
        <v>469</v>
      </c>
      <c r="AB54" s="10" t="s">
        <v>469</v>
      </c>
      <c r="AC54" s="10" t="s">
        <v>469</v>
      </c>
      <c r="AD54" s="10" t="s">
        <v>469</v>
      </c>
      <c r="AE54" s="7" t="s">
        <v>460</v>
      </c>
      <c r="AF54" s="9" t="s">
        <v>460</v>
      </c>
      <c r="AG54" s="7" t="s">
        <v>470</v>
      </c>
      <c r="AH54" s="7">
        <v>0</v>
      </c>
      <c r="AI54" s="7"/>
      <c r="AJ54" s="7"/>
      <c r="AK54" s="7"/>
      <c r="AL54" s="7"/>
      <c r="AM54" s="7"/>
      <c r="AN54" s="7" t="s">
        <v>471</v>
      </c>
      <c r="AO54" s="7" t="s">
        <v>471</v>
      </c>
      <c r="AP54" s="7"/>
      <c r="AQ54" s="7"/>
      <c r="AR54" s="7"/>
      <c r="AS54" s="7"/>
      <c r="AT54" s="7"/>
      <c r="AU54" s="7"/>
      <c r="AV54" s="12">
        <v>0</v>
      </c>
      <c r="AW54" s="7">
        <v>0</v>
      </c>
      <c r="AX54" s="7" t="s">
        <v>472</v>
      </c>
      <c r="AY54" s="7">
        <v>0</v>
      </c>
      <c r="AZ54" s="7">
        <v>0</v>
      </c>
      <c r="BA54" s="7">
        <v>0</v>
      </c>
      <c r="BB54" s="12">
        <v>0</v>
      </c>
      <c r="BC54" s="7" t="s">
        <v>460</v>
      </c>
      <c r="BD54" s="7" t="s">
        <v>460</v>
      </c>
      <c r="BE54" s="7"/>
      <c r="BF54" s="7">
        <v>0</v>
      </c>
      <c r="BG54" s="7">
        <v>4</v>
      </c>
      <c r="BH54" s="12" t="s">
        <v>460</v>
      </c>
      <c r="BI54" s="63">
        <v>0</v>
      </c>
      <c r="BJ54" s="64">
        <v>0</v>
      </c>
      <c r="BK54" s="7" t="s">
        <v>460</v>
      </c>
      <c r="BL54" s="7">
        <v>0</v>
      </c>
      <c r="BM54" s="7" t="s">
        <v>460</v>
      </c>
      <c r="BN54" s="7" t="s">
        <v>460</v>
      </c>
      <c r="BO54" s="7" t="s">
        <v>460</v>
      </c>
      <c r="BP54" s="7">
        <v>0</v>
      </c>
      <c r="BQ54" s="7">
        <v>0</v>
      </c>
      <c r="BR54" s="7">
        <v>0</v>
      </c>
      <c r="BS54" s="7" t="s">
        <v>460</v>
      </c>
      <c r="BT54" s="7">
        <v>0</v>
      </c>
      <c r="BU54" s="7">
        <v>0</v>
      </c>
      <c r="BV54" s="7" t="s">
        <v>460</v>
      </c>
      <c r="BW54" s="7" t="s">
        <v>460</v>
      </c>
      <c r="BX54" s="7">
        <v>0</v>
      </c>
      <c r="BY54" s="7">
        <v>0</v>
      </c>
      <c r="BZ54" s="7">
        <v>0</v>
      </c>
      <c r="CA54" s="7">
        <v>0</v>
      </c>
      <c r="CB54" s="7">
        <v>0</v>
      </c>
      <c r="CC54" s="7">
        <v>0</v>
      </c>
      <c r="CD54" s="7">
        <v>0</v>
      </c>
      <c r="CE54" s="7" t="s">
        <v>473</v>
      </c>
      <c r="CF54" s="7"/>
      <c r="CG54" s="7">
        <v>0</v>
      </c>
      <c r="CH54" s="7">
        <v>0</v>
      </c>
      <c r="CI54" s="7">
        <v>0</v>
      </c>
      <c r="CJ54" s="7">
        <v>0</v>
      </c>
      <c r="CK54" s="7" t="s">
        <v>474</v>
      </c>
      <c r="CL54" s="7" t="s">
        <v>475</v>
      </c>
      <c r="CM54" s="7" t="s">
        <v>460</v>
      </c>
      <c r="CN54" s="7"/>
      <c r="CO54" s="7"/>
      <c r="CP54" s="7"/>
      <c r="CQ54" s="7" t="s">
        <v>476</v>
      </c>
      <c r="CR54" s="7"/>
      <c r="CS54" s="7">
        <v>0</v>
      </c>
      <c r="CT54" s="7" t="s">
        <v>477</v>
      </c>
      <c r="CU54" s="7" t="s">
        <v>477</v>
      </c>
      <c r="CV54" s="10" t="s">
        <v>478</v>
      </c>
      <c r="CW54" s="10" t="s">
        <v>469</v>
      </c>
      <c r="CX54" s="10" t="s">
        <v>469</v>
      </c>
      <c r="CY54" s="10" t="s">
        <v>469</v>
      </c>
      <c r="CZ54" s="10" t="s">
        <v>479</v>
      </c>
      <c r="DA54" s="10" t="s">
        <v>479</v>
      </c>
      <c r="DB54" s="64" t="s">
        <v>480</v>
      </c>
      <c r="DC54" s="7">
        <v>0</v>
      </c>
      <c r="DD54" s="7">
        <v>0</v>
      </c>
      <c r="DE54" s="7" t="s">
        <v>480</v>
      </c>
      <c r="DF54" s="7" t="s">
        <v>466</v>
      </c>
      <c r="DG54" s="7">
        <v>0</v>
      </c>
      <c r="DH54" s="7">
        <v>0</v>
      </c>
      <c r="DI54" s="7">
        <v>0</v>
      </c>
      <c r="DJ54" s="7" t="s">
        <v>460</v>
      </c>
      <c r="DK54" s="7"/>
      <c r="DL54" s="7"/>
      <c r="DM54" s="7"/>
      <c r="DN54" s="7"/>
      <c r="DO54" s="7"/>
      <c r="DP54" s="7" t="s">
        <v>475</v>
      </c>
      <c r="DQ54" s="7">
        <v>0</v>
      </c>
      <c r="DR54" s="7">
        <v>0</v>
      </c>
      <c r="DS54" s="7" t="s">
        <v>481</v>
      </c>
      <c r="DT54" s="12" t="s">
        <v>482</v>
      </c>
      <c r="DU54" s="7" t="s">
        <v>483</v>
      </c>
      <c r="DV54" s="7">
        <v>0</v>
      </c>
      <c r="DW54" s="7" t="s">
        <v>468</v>
      </c>
      <c r="DX54" s="7">
        <v>0</v>
      </c>
      <c r="DY54" s="7">
        <v>0</v>
      </c>
      <c r="DZ54" s="7" t="s">
        <v>460</v>
      </c>
      <c r="EA54" s="7" t="s">
        <v>470</v>
      </c>
    </row>
    <row r="55" spans="1:131" x14ac:dyDescent="0.3">
      <c r="A55" s="62" t="s">
        <v>484</v>
      </c>
      <c r="B55" s="7" t="s">
        <v>485</v>
      </c>
      <c r="C55" s="7" t="s">
        <v>463</v>
      </c>
      <c r="D55" s="7" t="s">
        <v>463</v>
      </c>
      <c r="E55" s="7" t="s">
        <v>485</v>
      </c>
      <c r="F55" s="7" t="s">
        <v>485</v>
      </c>
      <c r="G55" s="7" t="s">
        <v>463</v>
      </c>
      <c r="H55" s="7" t="s">
        <v>463</v>
      </c>
      <c r="I55" s="7" t="s">
        <v>486</v>
      </c>
      <c r="J55" s="7" t="s">
        <v>486</v>
      </c>
      <c r="K55" s="7" t="s">
        <v>486</v>
      </c>
      <c r="L55" s="7" t="s">
        <v>487</v>
      </c>
      <c r="M55" s="7" t="s">
        <v>486</v>
      </c>
      <c r="N55" s="7" t="s">
        <v>486</v>
      </c>
      <c r="O55" s="7" t="s">
        <v>486</v>
      </c>
      <c r="P55" s="7"/>
      <c r="Q55" s="7" t="s">
        <v>486</v>
      </c>
      <c r="R55" s="7" t="s">
        <v>488</v>
      </c>
      <c r="S55" s="7" t="s">
        <v>489</v>
      </c>
      <c r="T55" s="7" t="s">
        <v>486</v>
      </c>
      <c r="U55" s="7" t="s">
        <v>486</v>
      </c>
      <c r="V55" s="7" t="s">
        <v>486</v>
      </c>
      <c r="W55" s="7" t="s">
        <v>490</v>
      </c>
      <c r="X55" s="7" t="s">
        <v>491</v>
      </c>
      <c r="Y55" s="7" t="s">
        <v>491</v>
      </c>
      <c r="Z55" s="7" t="s">
        <v>491</v>
      </c>
      <c r="AA55" s="7" t="s">
        <v>491</v>
      </c>
      <c r="AB55" s="7" t="s">
        <v>491</v>
      </c>
      <c r="AC55" s="7" t="s">
        <v>486</v>
      </c>
      <c r="AD55" s="7" t="s">
        <v>492</v>
      </c>
      <c r="AE55" s="7" t="s">
        <v>491</v>
      </c>
      <c r="AF55" s="7" t="s">
        <v>491</v>
      </c>
      <c r="AG55" s="7" t="s">
        <v>491</v>
      </c>
      <c r="AH55" s="7" t="s">
        <v>486</v>
      </c>
      <c r="AI55" s="7" t="s">
        <v>486</v>
      </c>
      <c r="AJ55" s="7" t="s">
        <v>486</v>
      </c>
      <c r="AK55" s="7" t="s">
        <v>486</v>
      </c>
      <c r="AL55" s="7" t="s">
        <v>486</v>
      </c>
      <c r="AM55" s="7" t="s">
        <v>493</v>
      </c>
      <c r="AN55" s="7" t="s">
        <v>486</v>
      </c>
      <c r="AO55" s="7" t="s">
        <v>486</v>
      </c>
      <c r="AP55" s="7" t="s">
        <v>486</v>
      </c>
      <c r="AQ55" s="7" t="s">
        <v>486</v>
      </c>
      <c r="AR55" s="7" t="s">
        <v>486</v>
      </c>
      <c r="AS55" s="7" t="s">
        <v>486</v>
      </c>
      <c r="AT55" s="7" t="s">
        <v>486</v>
      </c>
      <c r="AU55" s="7" t="s">
        <v>486</v>
      </c>
      <c r="AV55" s="12" t="s">
        <v>494</v>
      </c>
      <c r="AW55" s="7" t="s">
        <v>494</v>
      </c>
      <c r="AX55" s="7" t="s">
        <v>495</v>
      </c>
      <c r="AY55" s="7" t="s">
        <v>463</v>
      </c>
      <c r="AZ55" s="7" t="s">
        <v>496</v>
      </c>
      <c r="BA55" s="7" t="s">
        <v>463</v>
      </c>
      <c r="BB55" s="12" t="s">
        <v>463</v>
      </c>
      <c r="BC55" s="7" t="s">
        <v>486</v>
      </c>
      <c r="BD55" s="7" t="s">
        <v>497</v>
      </c>
      <c r="BE55" s="7" t="s">
        <v>486</v>
      </c>
      <c r="BF55" s="7" t="s">
        <v>486</v>
      </c>
      <c r="BG55" s="7" t="s">
        <v>486</v>
      </c>
      <c r="BH55" s="12" t="s">
        <v>486</v>
      </c>
      <c r="BI55" s="63" t="s">
        <v>486</v>
      </c>
      <c r="BJ55" s="64" t="s">
        <v>486</v>
      </c>
      <c r="BK55" s="7" t="s">
        <v>491</v>
      </c>
      <c r="BL55" s="7" t="s">
        <v>498</v>
      </c>
      <c r="BM55" s="7" t="s">
        <v>491</v>
      </c>
      <c r="BN55" s="7" t="s">
        <v>491</v>
      </c>
      <c r="BO55" s="7" t="s">
        <v>491</v>
      </c>
      <c r="BP55" s="7" t="s">
        <v>486</v>
      </c>
      <c r="BQ55" s="7" t="s">
        <v>499</v>
      </c>
      <c r="BR55" s="7" t="s">
        <v>499</v>
      </c>
      <c r="BS55" s="7" t="s">
        <v>499</v>
      </c>
      <c r="BT55" s="7" t="s">
        <v>500</v>
      </c>
      <c r="BU55" s="7" t="s">
        <v>501</v>
      </c>
      <c r="BV55" s="7" t="s">
        <v>486</v>
      </c>
      <c r="BW55" s="7" t="s">
        <v>486</v>
      </c>
      <c r="BX55" s="7" t="s">
        <v>502</v>
      </c>
      <c r="BY55" s="7" t="s">
        <v>503</v>
      </c>
      <c r="BZ55" s="7" t="s">
        <v>486</v>
      </c>
      <c r="CA55" s="7" t="s">
        <v>486</v>
      </c>
      <c r="CB55" s="7" t="s">
        <v>502</v>
      </c>
      <c r="CC55" s="7" t="s">
        <v>486</v>
      </c>
      <c r="CD55" s="7" t="s">
        <v>502</v>
      </c>
      <c r="CE55" s="7" t="s">
        <v>504</v>
      </c>
      <c r="CF55" s="7" t="s">
        <v>463</v>
      </c>
      <c r="CG55" s="7">
        <v>3.1</v>
      </c>
      <c r="CH55" s="7" t="s">
        <v>505</v>
      </c>
      <c r="CI55" s="7" t="s">
        <v>463</v>
      </c>
      <c r="CJ55" s="7" t="s">
        <v>463</v>
      </c>
      <c r="CK55" s="7" t="s">
        <v>506</v>
      </c>
      <c r="CL55" s="7" t="s">
        <v>463</v>
      </c>
      <c r="CM55" s="7" t="s">
        <v>486</v>
      </c>
      <c r="CN55" s="7" t="s">
        <v>486</v>
      </c>
      <c r="CO55" s="7" t="s">
        <v>486</v>
      </c>
      <c r="CP55" s="7" t="s">
        <v>486</v>
      </c>
      <c r="CQ55" s="7"/>
      <c r="CR55" s="7" t="s">
        <v>486</v>
      </c>
      <c r="CS55" s="7" t="s">
        <v>494</v>
      </c>
      <c r="CT55" s="7" t="s">
        <v>491</v>
      </c>
      <c r="CU55" s="7" t="s">
        <v>491</v>
      </c>
      <c r="CV55" s="7" t="s">
        <v>493</v>
      </c>
      <c r="CW55" s="7" t="s">
        <v>491</v>
      </c>
      <c r="CX55" s="7" t="s">
        <v>491</v>
      </c>
      <c r="CY55" s="7" t="s">
        <v>491</v>
      </c>
      <c r="CZ55" s="7" t="s">
        <v>491</v>
      </c>
      <c r="DA55" s="7" t="s">
        <v>491</v>
      </c>
      <c r="DB55" s="64" t="s">
        <v>507</v>
      </c>
      <c r="DC55" s="7" t="s">
        <v>463</v>
      </c>
      <c r="DD55" s="7" t="s">
        <v>463</v>
      </c>
      <c r="DE55" s="7" t="s">
        <v>463</v>
      </c>
      <c r="DF55" s="7" t="s">
        <v>508</v>
      </c>
      <c r="DG55" s="7" t="s">
        <v>485</v>
      </c>
      <c r="DH55" s="7" t="s">
        <v>485</v>
      </c>
      <c r="DI55" s="7" t="s">
        <v>486</v>
      </c>
      <c r="DJ55" s="7" t="s">
        <v>491</v>
      </c>
      <c r="DK55" s="7" t="s">
        <v>486</v>
      </c>
      <c r="DL55" s="7" t="s">
        <v>486</v>
      </c>
      <c r="DM55" s="7" t="s">
        <v>486</v>
      </c>
      <c r="DN55" s="7" t="s">
        <v>486</v>
      </c>
      <c r="DO55" s="7" t="s">
        <v>486</v>
      </c>
      <c r="DP55" s="7" t="s">
        <v>494</v>
      </c>
      <c r="DQ55" s="7" t="s">
        <v>463</v>
      </c>
      <c r="DR55" s="7" t="s">
        <v>463</v>
      </c>
      <c r="DS55" s="7" t="s">
        <v>509</v>
      </c>
      <c r="DT55" s="12" t="s">
        <v>485</v>
      </c>
      <c r="DU55" s="7" t="s">
        <v>486</v>
      </c>
      <c r="DV55" s="7" t="s">
        <v>486</v>
      </c>
      <c r="DW55" s="7" t="s">
        <v>486</v>
      </c>
      <c r="DX55" s="7" t="s">
        <v>486</v>
      </c>
      <c r="DY55" s="7" t="s">
        <v>486</v>
      </c>
      <c r="DZ55" s="7" t="s">
        <v>491</v>
      </c>
      <c r="EA55" s="7" t="s">
        <v>491</v>
      </c>
    </row>
    <row r="56" spans="1:131" x14ac:dyDescent="0.3">
      <c r="A56" s="62" t="s">
        <v>510</v>
      </c>
      <c r="B56" s="7">
        <v>1.5</v>
      </c>
      <c r="C56" s="7">
        <v>1</v>
      </c>
      <c r="D56" s="7">
        <v>0.5</v>
      </c>
      <c r="E56" s="7">
        <v>0.25</v>
      </c>
      <c r="F56" s="7">
        <v>0.25</v>
      </c>
      <c r="G56" s="7">
        <v>0</v>
      </c>
      <c r="H56" s="7">
        <v>0.5</v>
      </c>
      <c r="I56" s="7">
        <v>0.7</v>
      </c>
      <c r="J56" s="7">
        <v>0.7</v>
      </c>
      <c r="K56" s="7">
        <v>2.7</v>
      </c>
      <c r="L56" s="7">
        <v>1</v>
      </c>
      <c r="M56" s="7">
        <v>3</v>
      </c>
      <c r="N56" s="7">
        <v>0.7</v>
      </c>
      <c r="O56" s="7">
        <v>2</v>
      </c>
      <c r="P56" s="7"/>
      <c r="Q56" s="7">
        <v>0.8</v>
      </c>
      <c r="R56" s="7">
        <v>3</v>
      </c>
      <c r="S56" s="7">
        <v>1.4</v>
      </c>
      <c r="T56" s="7">
        <v>0.2</v>
      </c>
      <c r="U56" s="7">
        <v>2.33</v>
      </c>
      <c r="V56" s="7">
        <v>0.7</v>
      </c>
      <c r="W56" s="7">
        <v>0.4</v>
      </c>
      <c r="X56" s="7">
        <v>0</v>
      </c>
      <c r="Y56" s="7">
        <v>1</v>
      </c>
      <c r="Z56" s="7">
        <v>4</v>
      </c>
      <c r="AA56" s="7">
        <v>1</v>
      </c>
      <c r="AB56" s="7">
        <v>0.2</v>
      </c>
      <c r="AC56" s="7">
        <v>0.7</v>
      </c>
      <c r="AD56" s="7">
        <v>1</v>
      </c>
      <c r="AE56" s="7">
        <v>5.9</v>
      </c>
      <c r="AF56" s="7">
        <v>0</v>
      </c>
      <c r="AG56" s="7">
        <v>0</v>
      </c>
      <c r="AH56" s="7">
        <v>1.34</v>
      </c>
      <c r="AI56" s="7">
        <v>0.5</v>
      </c>
      <c r="AJ56" s="7">
        <v>0.4</v>
      </c>
      <c r="AK56" s="7">
        <v>0.5</v>
      </c>
      <c r="AL56" s="7">
        <v>4</v>
      </c>
      <c r="AM56" s="7">
        <v>4</v>
      </c>
      <c r="AN56" s="7">
        <v>2.5</v>
      </c>
      <c r="AO56" s="7">
        <v>2.8</v>
      </c>
      <c r="AP56" s="7"/>
      <c r="AQ56" s="7">
        <v>2</v>
      </c>
      <c r="AR56" s="7">
        <v>4</v>
      </c>
      <c r="AS56" s="7">
        <v>2.8</v>
      </c>
      <c r="AT56" s="7">
        <v>2</v>
      </c>
      <c r="AU56" s="7">
        <v>0.5</v>
      </c>
      <c r="AV56" s="12">
        <v>0.5</v>
      </c>
      <c r="AW56" s="7">
        <v>3.2</v>
      </c>
      <c r="AX56" s="7">
        <v>4</v>
      </c>
      <c r="AY56" s="7">
        <v>1</v>
      </c>
      <c r="AZ56" s="7">
        <v>0.5</v>
      </c>
      <c r="BA56" s="7">
        <v>1.5</v>
      </c>
      <c r="BB56" s="12">
        <v>1</v>
      </c>
      <c r="BC56" s="7">
        <v>0.5</v>
      </c>
      <c r="BD56" s="7">
        <v>0.1</v>
      </c>
      <c r="BE56" s="7">
        <v>1</v>
      </c>
      <c r="BF56" s="7">
        <v>3</v>
      </c>
      <c r="BG56" s="7">
        <v>7.75</v>
      </c>
      <c r="BH56" s="12">
        <v>0.7</v>
      </c>
      <c r="BI56" s="63" t="s">
        <v>511</v>
      </c>
      <c r="BJ56" s="64">
        <v>0.8</v>
      </c>
      <c r="BK56" s="7">
        <v>6.4</v>
      </c>
      <c r="BL56" s="7">
        <v>0.5</v>
      </c>
      <c r="BM56" s="7">
        <v>0</v>
      </c>
      <c r="BN56" s="7">
        <v>2</v>
      </c>
      <c r="BO56" s="7">
        <v>0.25</v>
      </c>
      <c r="BP56" s="7">
        <v>21</v>
      </c>
      <c r="BQ56" s="7">
        <v>12</v>
      </c>
      <c r="BR56" s="7" t="s">
        <v>512</v>
      </c>
      <c r="BS56" s="7">
        <v>3.1</v>
      </c>
      <c r="BT56" s="7">
        <v>15</v>
      </c>
      <c r="BU56" s="7">
        <v>5</v>
      </c>
      <c r="BV56" s="7">
        <v>1.5</v>
      </c>
      <c r="BW56" s="7">
        <v>1.6</v>
      </c>
      <c r="BX56" s="7">
        <v>2</v>
      </c>
      <c r="BY56" s="7">
        <v>4</v>
      </c>
      <c r="BZ56" s="7">
        <v>1</v>
      </c>
      <c r="CA56" s="7">
        <v>7.7</v>
      </c>
      <c r="CB56" s="7">
        <v>1</v>
      </c>
      <c r="CC56" s="7">
        <v>0.8</v>
      </c>
      <c r="CD56" s="7">
        <v>0.5</v>
      </c>
      <c r="CE56" s="7" t="s">
        <v>513</v>
      </c>
      <c r="CF56" s="7">
        <v>2.8</v>
      </c>
      <c r="CG56" s="7">
        <v>0.7</v>
      </c>
      <c r="CH56" s="7">
        <v>0</v>
      </c>
      <c r="CI56" s="7">
        <v>1</v>
      </c>
      <c r="CJ56" s="7">
        <v>0.2</v>
      </c>
      <c r="CK56" s="7">
        <v>0</v>
      </c>
      <c r="CL56" s="7">
        <v>2</v>
      </c>
      <c r="CM56" s="7">
        <v>2</v>
      </c>
      <c r="CN56" s="7">
        <v>3.8</v>
      </c>
      <c r="CO56" s="7">
        <v>1</v>
      </c>
      <c r="CP56" s="7"/>
      <c r="CQ56" s="7"/>
      <c r="CR56" s="7"/>
      <c r="CS56" s="7">
        <v>4</v>
      </c>
      <c r="CT56" s="7">
        <v>0.2</v>
      </c>
      <c r="CU56" s="7">
        <v>0</v>
      </c>
      <c r="CV56" s="7">
        <v>1</v>
      </c>
      <c r="CW56" s="7">
        <v>0.5</v>
      </c>
      <c r="CX56" s="7">
        <v>5</v>
      </c>
      <c r="CY56" s="7">
        <v>8</v>
      </c>
      <c r="CZ56" s="7">
        <v>0.5</v>
      </c>
      <c r="DA56" s="7">
        <v>0.3</v>
      </c>
      <c r="DB56" s="64">
        <v>4</v>
      </c>
      <c r="DC56" s="7">
        <v>4</v>
      </c>
      <c r="DD56" s="7">
        <v>2</v>
      </c>
      <c r="DE56" s="7">
        <v>1</v>
      </c>
      <c r="DF56" s="7">
        <v>1</v>
      </c>
      <c r="DG56" s="7">
        <v>0.5</v>
      </c>
      <c r="DH56" s="7">
        <v>0.5</v>
      </c>
      <c r="DI56" s="7">
        <v>0.5</v>
      </c>
      <c r="DJ56" s="7">
        <v>0</v>
      </c>
      <c r="DK56" s="7">
        <v>0.3</v>
      </c>
      <c r="DL56" s="7">
        <v>0.5</v>
      </c>
      <c r="DM56" s="7">
        <v>1</v>
      </c>
      <c r="DN56" s="7">
        <v>0</v>
      </c>
      <c r="DO56" s="7">
        <v>1.5</v>
      </c>
      <c r="DP56" s="7">
        <v>0.6</v>
      </c>
      <c r="DQ56" s="7">
        <v>1</v>
      </c>
      <c r="DR56" s="7">
        <v>0.2</v>
      </c>
      <c r="DS56" s="7">
        <v>7.0000000000000007E-2</v>
      </c>
      <c r="DT56" s="12">
        <v>2</v>
      </c>
      <c r="DU56" s="7">
        <v>0.1</v>
      </c>
      <c r="DV56" s="7">
        <v>0.3</v>
      </c>
      <c r="DW56" s="7">
        <v>0.2</v>
      </c>
      <c r="DX56" s="7">
        <v>0.5</v>
      </c>
      <c r="DY56" s="7">
        <v>0.5</v>
      </c>
      <c r="DZ56" s="7">
        <v>0.3</v>
      </c>
      <c r="EA56" s="7">
        <v>0.5</v>
      </c>
    </row>
    <row r="57" spans="1:131" x14ac:dyDescent="0.3">
      <c r="A57" s="62" t="s">
        <v>514</v>
      </c>
      <c r="B57" s="7">
        <v>2.5</v>
      </c>
      <c r="C57" s="7">
        <v>0</v>
      </c>
      <c r="D57" s="7">
        <v>0</v>
      </c>
      <c r="E57" s="7">
        <v>0</v>
      </c>
      <c r="F57" s="7">
        <v>0</v>
      </c>
      <c r="G57" s="7">
        <v>0</v>
      </c>
      <c r="H57" s="7">
        <v>0</v>
      </c>
      <c r="I57" s="7"/>
      <c r="J57" s="7"/>
      <c r="K57" s="7"/>
      <c r="L57" s="7"/>
      <c r="M57" s="7"/>
      <c r="N57" s="7">
        <v>1</v>
      </c>
      <c r="O57" s="7">
        <v>0.8</v>
      </c>
      <c r="P57" s="7"/>
      <c r="Q57" s="7"/>
      <c r="R57" s="7">
        <v>0</v>
      </c>
      <c r="S57" s="7">
        <v>0</v>
      </c>
      <c r="T57" s="7">
        <v>3</v>
      </c>
      <c r="U57" s="7">
        <v>0</v>
      </c>
      <c r="V57" s="7"/>
      <c r="W57" s="7">
        <v>0.2</v>
      </c>
      <c r="X57" s="7">
        <v>0.1</v>
      </c>
      <c r="Y57" s="7">
        <v>0</v>
      </c>
      <c r="Z57" s="7">
        <v>0</v>
      </c>
      <c r="AA57" s="7">
        <v>6</v>
      </c>
      <c r="AB57" s="7">
        <v>0.5</v>
      </c>
      <c r="AC57" s="7">
        <v>2</v>
      </c>
      <c r="AD57" s="7">
        <v>0</v>
      </c>
      <c r="AE57" s="7">
        <v>0</v>
      </c>
      <c r="AF57" s="7">
        <v>0</v>
      </c>
      <c r="AG57" s="7">
        <v>1.8</v>
      </c>
      <c r="AH57" s="7">
        <v>0</v>
      </c>
      <c r="AI57" s="7">
        <v>1</v>
      </c>
      <c r="AJ57" s="7">
        <v>4</v>
      </c>
      <c r="AK57" s="7">
        <v>1</v>
      </c>
      <c r="AL57" s="7">
        <v>2</v>
      </c>
      <c r="AM57" s="7"/>
      <c r="AN57" s="7">
        <v>2</v>
      </c>
      <c r="AO57" s="7"/>
      <c r="AP57" s="7">
        <v>2</v>
      </c>
      <c r="AQ57" s="7"/>
      <c r="AR57" s="7">
        <v>1.5</v>
      </c>
      <c r="AS57" s="7"/>
      <c r="AT57" s="7"/>
      <c r="AU57" s="7"/>
      <c r="AV57" s="12">
        <v>1</v>
      </c>
      <c r="AW57" s="7">
        <v>0</v>
      </c>
      <c r="AX57" s="7">
        <v>0</v>
      </c>
      <c r="AY57" s="7">
        <v>1</v>
      </c>
      <c r="AZ57" s="7">
        <v>0</v>
      </c>
      <c r="BA57" s="7">
        <v>1</v>
      </c>
      <c r="BB57" s="12">
        <v>2</v>
      </c>
      <c r="BC57" s="7">
        <v>0</v>
      </c>
      <c r="BD57" s="7">
        <v>0.1</v>
      </c>
      <c r="BE57" s="7">
        <v>1.28</v>
      </c>
      <c r="BF57" s="7">
        <v>0</v>
      </c>
      <c r="BG57" s="7">
        <v>0.25</v>
      </c>
      <c r="BH57" s="12">
        <v>1.5</v>
      </c>
      <c r="BI57" s="63">
        <v>0</v>
      </c>
      <c r="BJ57" s="64">
        <v>0</v>
      </c>
      <c r="BK57" s="7">
        <v>0.2</v>
      </c>
      <c r="BL57" s="7">
        <v>0.9</v>
      </c>
      <c r="BM57" s="7">
        <v>0.2</v>
      </c>
      <c r="BN57" s="7">
        <v>0.25</v>
      </c>
      <c r="BO57" s="7">
        <v>1</v>
      </c>
      <c r="BP57" s="7">
        <v>0</v>
      </c>
      <c r="BQ57" s="7">
        <v>0</v>
      </c>
      <c r="BR57" s="7">
        <v>0</v>
      </c>
      <c r="BS57" s="7">
        <v>0</v>
      </c>
      <c r="BT57" s="7">
        <v>0</v>
      </c>
      <c r="BU57" s="7">
        <v>0</v>
      </c>
      <c r="BV57" s="7">
        <v>0</v>
      </c>
      <c r="BW57" s="7">
        <v>0</v>
      </c>
      <c r="BX57" s="7">
        <v>0</v>
      </c>
      <c r="BY57" s="7">
        <v>0.2</v>
      </c>
      <c r="BZ57" s="7">
        <v>0</v>
      </c>
      <c r="CA57" s="7">
        <v>0</v>
      </c>
      <c r="CB57" s="7">
        <v>0</v>
      </c>
      <c r="CC57" s="7">
        <v>0.2</v>
      </c>
      <c r="CD57" s="7">
        <v>0</v>
      </c>
      <c r="CE57" s="7">
        <v>0</v>
      </c>
      <c r="CF57" s="7">
        <v>0</v>
      </c>
      <c r="CG57" s="7">
        <v>0.2</v>
      </c>
      <c r="CH57" s="7">
        <v>0</v>
      </c>
      <c r="CI57" s="7">
        <v>0</v>
      </c>
      <c r="CJ57" s="7">
        <v>0</v>
      </c>
      <c r="CK57" s="7">
        <v>0</v>
      </c>
      <c r="CL57" s="7">
        <v>0</v>
      </c>
      <c r="CM57" s="7">
        <v>0.1</v>
      </c>
      <c r="CN57" s="7"/>
      <c r="CO57" s="7"/>
      <c r="CP57" s="7">
        <v>8</v>
      </c>
      <c r="CQ57" s="7">
        <v>14</v>
      </c>
      <c r="CR57" s="7"/>
      <c r="CS57" s="7">
        <v>0</v>
      </c>
      <c r="CT57" s="7">
        <v>0</v>
      </c>
      <c r="CU57" s="7">
        <v>0</v>
      </c>
      <c r="CV57" s="7">
        <v>0</v>
      </c>
      <c r="CW57" s="7">
        <v>0</v>
      </c>
      <c r="CX57" s="7">
        <v>0</v>
      </c>
      <c r="CY57" s="7">
        <v>0</v>
      </c>
      <c r="CZ57" s="7">
        <v>0</v>
      </c>
      <c r="DA57" s="7">
        <v>0.2</v>
      </c>
      <c r="DB57" s="64">
        <v>0</v>
      </c>
      <c r="DC57" s="7">
        <v>0</v>
      </c>
      <c r="DD57" s="7">
        <v>0</v>
      </c>
      <c r="DE57" s="7">
        <v>0.5</v>
      </c>
      <c r="DF57" s="7">
        <v>0</v>
      </c>
      <c r="DG57" s="7">
        <v>0</v>
      </c>
      <c r="DH57" s="7">
        <v>0</v>
      </c>
      <c r="DI57" s="7">
        <v>1.5</v>
      </c>
      <c r="DJ57" s="7">
        <v>0</v>
      </c>
      <c r="DK57" s="7">
        <v>0.2</v>
      </c>
      <c r="DL57" s="7">
        <v>1</v>
      </c>
      <c r="DM57" s="7"/>
      <c r="DN57" s="7">
        <v>0.5</v>
      </c>
      <c r="DO57" s="7">
        <v>0.5</v>
      </c>
      <c r="DP57" s="7">
        <v>1</v>
      </c>
      <c r="DQ57" s="7">
        <v>2</v>
      </c>
      <c r="DR57" s="7">
        <v>0</v>
      </c>
      <c r="DS57" s="7">
        <v>0</v>
      </c>
      <c r="DT57" s="12">
        <v>1</v>
      </c>
      <c r="DU57" s="7">
        <v>0</v>
      </c>
      <c r="DV57" s="7">
        <v>0</v>
      </c>
      <c r="DW57" s="7">
        <v>0.1</v>
      </c>
      <c r="DX57" s="7">
        <v>0.5</v>
      </c>
      <c r="DY57" s="7">
        <v>0</v>
      </c>
      <c r="DZ57" s="7">
        <v>2</v>
      </c>
      <c r="EA57" s="7">
        <v>0.25</v>
      </c>
    </row>
    <row r="58" spans="1:131" x14ac:dyDescent="0.3">
      <c r="A58" s="62" t="s">
        <v>515</v>
      </c>
      <c r="B58" s="7" t="s">
        <v>516</v>
      </c>
      <c r="C58" s="7">
        <v>0</v>
      </c>
      <c r="D58" s="7">
        <v>0</v>
      </c>
      <c r="E58" s="7">
        <v>0</v>
      </c>
      <c r="F58" s="7">
        <v>0</v>
      </c>
      <c r="G58" s="7">
        <v>0</v>
      </c>
      <c r="H58" s="7">
        <v>0</v>
      </c>
      <c r="I58" s="7"/>
      <c r="J58" s="7"/>
      <c r="K58" s="7"/>
      <c r="L58" s="7"/>
      <c r="M58" s="7"/>
      <c r="N58" s="7" t="s">
        <v>517</v>
      </c>
      <c r="O58" s="7" t="s">
        <v>517</v>
      </c>
      <c r="P58" s="7"/>
      <c r="Q58" s="7"/>
      <c r="R58" s="7" t="s">
        <v>460</v>
      </c>
      <c r="S58" s="7" t="s">
        <v>460</v>
      </c>
      <c r="T58" s="7" t="s">
        <v>517</v>
      </c>
      <c r="U58" s="7" t="s">
        <v>460</v>
      </c>
      <c r="V58" s="7"/>
      <c r="W58" s="7" t="s">
        <v>518</v>
      </c>
      <c r="X58" s="7" t="s">
        <v>519</v>
      </c>
      <c r="Y58" s="7" t="s">
        <v>469</v>
      </c>
      <c r="Z58" s="7" t="s">
        <v>469</v>
      </c>
      <c r="AA58" s="7" t="s">
        <v>517</v>
      </c>
      <c r="AB58" s="7" t="s">
        <v>517</v>
      </c>
      <c r="AC58" s="7" t="s">
        <v>517</v>
      </c>
      <c r="AD58" s="7" t="s">
        <v>469</v>
      </c>
      <c r="AE58" s="7">
        <v>0</v>
      </c>
      <c r="AF58" s="7">
        <v>0</v>
      </c>
      <c r="AG58" s="7" t="s">
        <v>520</v>
      </c>
      <c r="AH58" s="7" t="s">
        <v>460</v>
      </c>
      <c r="AI58" s="7" t="s">
        <v>517</v>
      </c>
      <c r="AJ58" s="7" t="s">
        <v>521</v>
      </c>
      <c r="AK58" s="7" t="s">
        <v>522</v>
      </c>
      <c r="AL58" s="7" t="s">
        <v>523</v>
      </c>
      <c r="AM58" s="7"/>
      <c r="AN58" s="7" t="s">
        <v>524</v>
      </c>
      <c r="AO58" s="7"/>
      <c r="AP58" s="7" t="s">
        <v>520</v>
      </c>
      <c r="AQ58" s="7"/>
      <c r="AR58" s="7" t="s">
        <v>520</v>
      </c>
      <c r="AS58" s="7"/>
      <c r="AT58" s="7"/>
      <c r="AU58" s="7"/>
      <c r="AV58" s="12" t="s">
        <v>520</v>
      </c>
      <c r="AW58" s="7">
        <v>0</v>
      </c>
      <c r="AX58" s="7">
        <v>0</v>
      </c>
      <c r="AY58" s="7" t="s">
        <v>525</v>
      </c>
      <c r="AZ58" s="7">
        <v>0</v>
      </c>
      <c r="BA58" s="7" t="s">
        <v>526</v>
      </c>
      <c r="BB58" s="12" t="s">
        <v>527</v>
      </c>
      <c r="BC58" s="7" t="s">
        <v>460</v>
      </c>
      <c r="BD58" s="7" t="s">
        <v>528</v>
      </c>
      <c r="BE58" s="7" t="s">
        <v>517</v>
      </c>
      <c r="BF58" s="7" t="s">
        <v>460</v>
      </c>
      <c r="BG58" s="7" t="s">
        <v>520</v>
      </c>
      <c r="BH58" s="12" t="s">
        <v>529</v>
      </c>
      <c r="BI58" s="63" t="s">
        <v>460</v>
      </c>
      <c r="BJ58" s="64" t="s">
        <v>460</v>
      </c>
      <c r="BK58" s="7" t="s">
        <v>517</v>
      </c>
      <c r="BL58" s="7" t="s">
        <v>520</v>
      </c>
      <c r="BM58" s="7" t="s">
        <v>520</v>
      </c>
      <c r="BN58" s="7" t="s">
        <v>530</v>
      </c>
      <c r="BO58" s="7" t="s">
        <v>530</v>
      </c>
      <c r="BP58" s="7">
        <v>0</v>
      </c>
      <c r="BQ58" s="7" t="s">
        <v>460</v>
      </c>
      <c r="BR58" s="7" t="s">
        <v>460</v>
      </c>
      <c r="BS58" s="7" t="s">
        <v>460</v>
      </c>
      <c r="BT58" s="7" t="s">
        <v>460</v>
      </c>
      <c r="BU58" s="7" t="s">
        <v>460</v>
      </c>
      <c r="BV58" s="7" t="s">
        <v>460</v>
      </c>
      <c r="BW58" s="7" t="str">
        <f>BV58</f>
        <v>N/A</v>
      </c>
      <c r="BX58" s="7">
        <v>0</v>
      </c>
      <c r="BY58" s="7" t="s">
        <v>531</v>
      </c>
      <c r="BZ58" s="7">
        <v>0</v>
      </c>
      <c r="CA58" s="7">
        <v>0</v>
      </c>
      <c r="CB58" s="7">
        <v>0</v>
      </c>
      <c r="CC58" s="7" t="s">
        <v>532</v>
      </c>
      <c r="CD58" s="7">
        <v>0</v>
      </c>
      <c r="CE58" s="7">
        <v>0</v>
      </c>
      <c r="CF58" s="7">
        <v>0</v>
      </c>
      <c r="CG58" s="7" t="s">
        <v>533</v>
      </c>
      <c r="CH58" s="7">
        <v>0</v>
      </c>
      <c r="CI58" s="7">
        <v>0</v>
      </c>
      <c r="CJ58" s="7">
        <v>0</v>
      </c>
      <c r="CK58" s="7">
        <v>0</v>
      </c>
      <c r="CL58" s="7">
        <v>0</v>
      </c>
      <c r="CM58" s="7" t="s">
        <v>534</v>
      </c>
      <c r="CN58" s="7"/>
      <c r="CO58" s="7"/>
      <c r="CP58" s="7" t="s">
        <v>517</v>
      </c>
      <c r="CQ58" s="7" t="s">
        <v>517</v>
      </c>
      <c r="CR58" s="7"/>
      <c r="CS58" s="7">
        <v>0</v>
      </c>
      <c r="CT58" s="7" t="s">
        <v>460</v>
      </c>
      <c r="CU58" s="7" t="s">
        <v>460</v>
      </c>
      <c r="CV58" s="7" t="s">
        <v>469</v>
      </c>
      <c r="CW58" s="7" t="s">
        <v>469</v>
      </c>
      <c r="CX58" s="7" t="s">
        <v>469</v>
      </c>
      <c r="CY58" s="7" t="s">
        <v>469</v>
      </c>
      <c r="CZ58" s="7" t="s">
        <v>469</v>
      </c>
      <c r="DA58" s="7" t="s">
        <v>517</v>
      </c>
      <c r="DB58" s="64">
        <v>0</v>
      </c>
      <c r="DC58" s="7">
        <v>0</v>
      </c>
      <c r="DD58" s="7">
        <v>0</v>
      </c>
      <c r="DE58" s="7" t="s">
        <v>525</v>
      </c>
      <c r="DF58" s="7">
        <v>0</v>
      </c>
      <c r="DG58" s="7">
        <v>0</v>
      </c>
      <c r="DH58" s="7">
        <v>0</v>
      </c>
      <c r="DI58" s="7" t="s">
        <v>517</v>
      </c>
      <c r="DJ58" s="7" t="s">
        <v>460</v>
      </c>
      <c r="DK58" s="7" t="s">
        <v>535</v>
      </c>
      <c r="DL58" s="7" t="s">
        <v>520</v>
      </c>
      <c r="DM58" s="7"/>
      <c r="DN58" s="7" t="s">
        <v>520</v>
      </c>
      <c r="DO58" s="7" t="s">
        <v>520</v>
      </c>
      <c r="DP58" s="7" t="s">
        <v>536</v>
      </c>
      <c r="DQ58" s="7" t="s">
        <v>523</v>
      </c>
      <c r="DR58" s="7">
        <v>0</v>
      </c>
      <c r="DS58" s="7">
        <v>0</v>
      </c>
      <c r="DT58" s="12" t="s">
        <v>525</v>
      </c>
      <c r="DU58" s="7"/>
      <c r="DV58" s="7" t="s">
        <v>460</v>
      </c>
      <c r="DW58" s="7" t="s">
        <v>537</v>
      </c>
      <c r="DX58" s="7" t="s">
        <v>520</v>
      </c>
      <c r="DY58" s="7" t="s">
        <v>460</v>
      </c>
      <c r="DZ58" s="7" t="s">
        <v>538</v>
      </c>
      <c r="EA58" s="7" t="s">
        <v>520</v>
      </c>
    </row>
    <row r="59" spans="1:131" x14ac:dyDescent="0.3">
      <c r="A59" s="62" t="s">
        <v>539</v>
      </c>
      <c r="B59" s="7" t="s">
        <v>540</v>
      </c>
      <c r="C59" s="7" t="s">
        <v>540</v>
      </c>
      <c r="D59" s="7" t="s">
        <v>540</v>
      </c>
      <c r="E59" s="7" t="s">
        <v>540</v>
      </c>
      <c r="F59" s="7" t="s">
        <v>540</v>
      </c>
      <c r="G59" s="7" t="s">
        <v>541</v>
      </c>
      <c r="H59" s="7" t="s">
        <v>542</v>
      </c>
      <c r="I59" s="7">
        <v>150</v>
      </c>
      <c r="J59" s="7">
        <v>150</v>
      </c>
      <c r="K59" s="7">
        <v>400</v>
      </c>
      <c r="L59" s="7">
        <v>300</v>
      </c>
      <c r="M59" s="7">
        <v>200</v>
      </c>
      <c r="N59" s="7">
        <v>300</v>
      </c>
      <c r="O59" s="7">
        <v>500</v>
      </c>
      <c r="P59" s="7">
        <v>1000</v>
      </c>
      <c r="Q59" s="7">
        <v>180</v>
      </c>
      <c r="R59" s="7" t="s">
        <v>543</v>
      </c>
      <c r="S59" s="7" t="s">
        <v>544</v>
      </c>
      <c r="T59" s="7" t="s">
        <v>545</v>
      </c>
      <c r="U59" s="7" t="s">
        <v>546</v>
      </c>
      <c r="V59" s="7" t="s">
        <v>547</v>
      </c>
      <c r="W59" s="7" t="s">
        <v>548</v>
      </c>
      <c r="X59" s="7" t="s">
        <v>549</v>
      </c>
      <c r="Y59" s="7" t="s">
        <v>550</v>
      </c>
      <c r="Z59" s="7" t="s">
        <v>551</v>
      </c>
      <c r="AA59" s="7" t="s">
        <v>552</v>
      </c>
      <c r="AB59" s="7" t="s">
        <v>553</v>
      </c>
      <c r="AC59" s="7">
        <v>350</v>
      </c>
      <c r="AD59" s="7" t="s">
        <v>554</v>
      </c>
      <c r="AE59" s="7">
        <v>418</v>
      </c>
      <c r="AF59" s="7">
        <v>800</v>
      </c>
      <c r="AG59" s="7">
        <v>620</v>
      </c>
      <c r="AH59" s="7" t="s">
        <v>555</v>
      </c>
      <c r="AI59" s="7">
        <v>200</v>
      </c>
      <c r="AJ59" s="7">
        <v>400</v>
      </c>
      <c r="AK59" s="7">
        <v>820</v>
      </c>
      <c r="AL59" s="7">
        <v>1200</v>
      </c>
      <c r="AM59" s="7">
        <v>600</v>
      </c>
      <c r="AN59" s="7">
        <v>1400</v>
      </c>
      <c r="AO59" s="7">
        <v>800</v>
      </c>
      <c r="AP59" s="7">
        <v>200</v>
      </c>
      <c r="AQ59" s="7">
        <v>800</v>
      </c>
      <c r="AR59" s="7">
        <v>1000</v>
      </c>
      <c r="AS59" s="7">
        <v>1000</v>
      </c>
      <c r="AT59" s="7">
        <v>150</v>
      </c>
      <c r="AU59" s="7">
        <v>190</v>
      </c>
      <c r="AV59" s="12" t="s">
        <v>541</v>
      </c>
      <c r="AW59" s="7" t="s">
        <v>556</v>
      </c>
      <c r="AX59" s="7" t="s">
        <v>557</v>
      </c>
      <c r="AY59" s="7" t="s">
        <v>540</v>
      </c>
      <c r="AZ59" s="7" t="s">
        <v>558</v>
      </c>
      <c r="BA59" s="7" t="s">
        <v>559</v>
      </c>
      <c r="BB59" s="12" t="s">
        <v>560</v>
      </c>
      <c r="BC59" s="7" t="s">
        <v>561</v>
      </c>
      <c r="BD59" s="7" t="s">
        <v>562</v>
      </c>
      <c r="BE59" s="7" t="s">
        <v>545</v>
      </c>
      <c r="BF59" s="7" t="s">
        <v>563</v>
      </c>
      <c r="BG59" s="7" t="s">
        <v>563</v>
      </c>
      <c r="BH59" s="12" t="s">
        <v>564</v>
      </c>
      <c r="BI59" s="63" t="s">
        <v>565</v>
      </c>
      <c r="BJ59" s="64" t="s">
        <v>566</v>
      </c>
      <c r="BK59" s="7">
        <v>180</v>
      </c>
      <c r="BL59" s="7">
        <v>1300</v>
      </c>
      <c r="BM59" s="7">
        <v>1430</v>
      </c>
      <c r="BN59" s="7">
        <v>323</v>
      </c>
      <c r="BO59" s="7">
        <v>230</v>
      </c>
      <c r="BP59" s="7" t="s">
        <v>563</v>
      </c>
      <c r="BQ59" s="7" t="s">
        <v>567</v>
      </c>
      <c r="BR59" s="7" t="s">
        <v>558</v>
      </c>
      <c r="BS59" s="7" t="s">
        <v>567</v>
      </c>
      <c r="BT59" s="7" t="s">
        <v>568</v>
      </c>
      <c r="BU59" s="7" t="s">
        <v>562</v>
      </c>
      <c r="BV59" s="7" t="s">
        <v>551</v>
      </c>
      <c r="BW59" s="7" t="s">
        <v>562</v>
      </c>
      <c r="BX59" s="7">
        <v>200</v>
      </c>
      <c r="BY59" s="7">
        <v>100</v>
      </c>
      <c r="BZ59" s="7">
        <v>200</v>
      </c>
      <c r="CA59" s="7">
        <v>150</v>
      </c>
      <c r="CB59" s="7">
        <v>200</v>
      </c>
      <c r="CC59" s="7">
        <v>200</v>
      </c>
      <c r="CD59" s="7">
        <v>150</v>
      </c>
      <c r="CE59" s="7" t="s">
        <v>569</v>
      </c>
      <c r="CF59" s="7" t="s">
        <v>569</v>
      </c>
      <c r="CG59" s="7" t="s">
        <v>570</v>
      </c>
      <c r="CH59" s="7" t="s">
        <v>569</v>
      </c>
      <c r="CI59" s="7" t="s">
        <v>569</v>
      </c>
      <c r="CJ59" s="7" t="s">
        <v>569</v>
      </c>
      <c r="CK59" s="7" t="s">
        <v>569</v>
      </c>
      <c r="CL59" s="7" t="s">
        <v>569</v>
      </c>
      <c r="CM59" s="7">
        <v>290</v>
      </c>
      <c r="CN59" s="7">
        <v>200</v>
      </c>
      <c r="CO59" s="7">
        <v>250</v>
      </c>
      <c r="CP59" s="7">
        <v>200</v>
      </c>
      <c r="CQ59" s="7">
        <v>1420</v>
      </c>
      <c r="CR59" s="7">
        <v>170</v>
      </c>
      <c r="CS59" s="7" t="s">
        <v>571</v>
      </c>
      <c r="CT59" s="7">
        <v>1400</v>
      </c>
      <c r="CU59" s="7">
        <v>1100</v>
      </c>
      <c r="CV59" s="7">
        <v>650</v>
      </c>
      <c r="CW59" s="7" t="s">
        <v>572</v>
      </c>
      <c r="CX59" s="7" t="s">
        <v>573</v>
      </c>
      <c r="CY59" s="7">
        <v>320</v>
      </c>
      <c r="CZ59" s="7" t="s">
        <v>573</v>
      </c>
      <c r="DA59" s="7" t="s">
        <v>573</v>
      </c>
      <c r="DB59" s="64" t="s">
        <v>558</v>
      </c>
      <c r="DC59" s="7" t="s">
        <v>558</v>
      </c>
      <c r="DD59" s="7" t="s">
        <v>558</v>
      </c>
      <c r="DE59" s="7" t="s">
        <v>541</v>
      </c>
      <c r="DF59" s="7" t="s">
        <v>540</v>
      </c>
      <c r="DG59" s="7" t="s">
        <v>558</v>
      </c>
      <c r="DH59" s="7" t="s">
        <v>558</v>
      </c>
      <c r="DI59" s="7" t="s">
        <v>574</v>
      </c>
      <c r="DJ59" s="7">
        <v>350</v>
      </c>
      <c r="DK59" s="7">
        <v>700</v>
      </c>
      <c r="DL59" s="7">
        <v>750</v>
      </c>
      <c r="DM59" s="7">
        <v>150</v>
      </c>
      <c r="DN59" s="7">
        <v>200</v>
      </c>
      <c r="DO59" s="7">
        <v>200</v>
      </c>
      <c r="DP59" s="7" t="s">
        <v>575</v>
      </c>
      <c r="DQ59" s="7" t="s">
        <v>540</v>
      </c>
      <c r="DR59" s="7" t="s">
        <v>576</v>
      </c>
      <c r="DS59" s="7" t="s">
        <v>540</v>
      </c>
      <c r="DT59" s="12" t="s">
        <v>577</v>
      </c>
      <c r="DU59" s="7" t="s">
        <v>578</v>
      </c>
      <c r="DV59" s="7" t="s">
        <v>579</v>
      </c>
      <c r="DW59" s="7" t="s">
        <v>580</v>
      </c>
      <c r="DX59" s="7" t="s">
        <v>581</v>
      </c>
      <c r="DY59" s="7" t="s">
        <v>544</v>
      </c>
      <c r="DZ59" s="7">
        <v>620</v>
      </c>
      <c r="EA59" s="7">
        <v>1610</v>
      </c>
    </row>
    <row r="60" spans="1:131" x14ac:dyDescent="0.3">
      <c r="A60" s="62" t="s">
        <v>582</v>
      </c>
      <c r="B60" s="7">
        <v>0</v>
      </c>
      <c r="C60" s="7">
        <v>0</v>
      </c>
      <c r="D60" s="7">
        <v>0</v>
      </c>
      <c r="E60" s="7">
        <v>0</v>
      </c>
      <c r="F60" s="7">
        <v>0</v>
      </c>
      <c r="G60" s="7">
        <v>0</v>
      </c>
      <c r="H60" s="7">
        <v>0</v>
      </c>
      <c r="I60" s="7"/>
      <c r="J60" s="7"/>
      <c r="K60" s="7"/>
      <c r="L60" s="7"/>
      <c r="M60" s="7"/>
      <c r="N60" s="7"/>
      <c r="O60" s="7"/>
      <c r="P60" s="7"/>
      <c r="Q60" s="7"/>
      <c r="R60" s="7" t="s">
        <v>460</v>
      </c>
      <c r="S60" s="7" t="s">
        <v>460</v>
      </c>
      <c r="T60" s="7" t="s">
        <v>460</v>
      </c>
      <c r="U60" s="7" t="s">
        <v>460</v>
      </c>
      <c r="V60" s="7" t="s">
        <v>460</v>
      </c>
      <c r="W60" s="7" t="s">
        <v>460</v>
      </c>
      <c r="X60" s="7">
        <v>0</v>
      </c>
      <c r="Y60" s="7">
        <v>0</v>
      </c>
      <c r="Z60" s="7">
        <v>0</v>
      </c>
      <c r="AA60" s="7">
        <v>0</v>
      </c>
      <c r="AB60" s="7">
        <v>0</v>
      </c>
      <c r="AC60" s="7">
        <v>0</v>
      </c>
      <c r="AD60" s="7" t="s">
        <v>469</v>
      </c>
      <c r="AE60" s="7">
        <v>0</v>
      </c>
      <c r="AF60" s="7">
        <v>0</v>
      </c>
      <c r="AG60" s="7">
        <v>0</v>
      </c>
      <c r="AH60" s="7" t="s">
        <v>460</v>
      </c>
      <c r="AI60" s="7"/>
      <c r="AJ60" s="7"/>
      <c r="AK60" s="7"/>
      <c r="AL60" s="7"/>
      <c r="AM60" s="7"/>
      <c r="AN60" s="7"/>
      <c r="AO60" s="7"/>
      <c r="AP60" s="7"/>
      <c r="AQ60" s="7"/>
      <c r="AR60" s="7"/>
      <c r="AS60" s="7"/>
      <c r="AT60" s="7"/>
      <c r="AU60" s="7"/>
      <c r="AV60" s="12">
        <v>0</v>
      </c>
      <c r="AW60" s="7">
        <v>0</v>
      </c>
      <c r="AX60" s="7">
        <v>0</v>
      </c>
      <c r="AY60" s="7">
        <v>0</v>
      </c>
      <c r="AZ60" s="7">
        <v>0</v>
      </c>
      <c r="BA60" s="7">
        <v>0</v>
      </c>
      <c r="BB60" s="12">
        <v>0</v>
      </c>
      <c r="BC60" s="7" t="s">
        <v>460</v>
      </c>
      <c r="BD60" s="7" t="s">
        <v>460</v>
      </c>
      <c r="BE60" s="7" t="s">
        <v>460</v>
      </c>
      <c r="BF60" s="7" t="s">
        <v>460</v>
      </c>
      <c r="BG60" s="7" t="s">
        <v>460</v>
      </c>
      <c r="BH60" s="12" t="s">
        <v>460</v>
      </c>
      <c r="BI60" s="63" t="s">
        <v>460</v>
      </c>
      <c r="BJ60" s="64" t="s">
        <v>460</v>
      </c>
      <c r="BK60" s="7">
        <v>0</v>
      </c>
      <c r="BL60" s="7">
        <v>0</v>
      </c>
      <c r="BM60" s="7">
        <v>0</v>
      </c>
      <c r="BN60" s="7">
        <v>0</v>
      </c>
      <c r="BO60" s="7">
        <v>0</v>
      </c>
      <c r="BP60" s="7">
        <v>0</v>
      </c>
      <c r="BQ60" s="7">
        <v>0</v>
      </c>
      <c r="BR60" s="7">
        <v>0</v>
      </c>
      <c r="BS60" s="7">
        <v>0</v>
      </c>
      <c r="BT60" s="7">
        <v>0</v>
      </c>
      <c r="BU60" s="7">
        <v>0</v>
      </c>
      <c r="BV60" s="7" t="s">
        <v>460</v>
      </c>
      <c r="BW60" s="7" t="str">
        <f t="shared" ref="BW60:BW63" si="0">BV60</f>
        <v>N/A</v>
      </c>
      <c r="BX60" s="7">
        <v>0</v>
      </c>
      <c r="BY60" s="7">
        <v>0</v>
      </c>
      <c r="BZ60" s="7">
        <v>0</v>
      </c>
      <c r="CA60" s="7">
        <v>0</v>
      </c>
      <c r="CB60" s="7">
        <v>0</v>
      </c>
      <c r="CC60" s="7">
        <v>0</v>
      </c>
      <c r="CD60" s="7">
        <v>0</v>
      </c>
      <c r="CE60" s="7">
        <v>0</v>
      </c>
      <c r="CF60" s="7">
        <v>0</v>
      </c>
      <c r="CG60" s="7">
        <v>0</v>
      </c>
      <c r="CH60" s="7">
        <v>0</v>
      </c>
      <c r="CI60" s="7">
        <v>0</v>
      </c>
      <c r="CJ60" s="7">
        <v>0</v>
      </c>
      <c r="CK60" s="7">
        <v>0</v>
      </c>
      <c r="CL60" s="7">
        <v>0</v>
      </c>
      <c r="CM60" s="7" t="s">
        <v>460</v>
      </c>
      <c r="CN60" s="7"/>
      <c r="CO60" s="7"/>
      <c r="CP60" s="7"/>
      <c r="CQ60" s="7"/>
      <c r="CR60" s="7"/>
      <c r="CS60" s="7">
        <v>0</v>
      </c>
      <c r="CT60" s="7">
        <v>0</v>
      </c>
      <c r="CU60" s="7">
        <v>0</v>
      </c>
      <c r="CV60" s="7">
        <v>0</v>
      </c>
      <c r="CW60" s="7">
        <v>0</v>
      </c>
      <c r="CX60" s="7" t="s">
        <v>469</v>
      </c>
      <c r="CY60" s="7">
        <v>0</v>
      </c>
      <c r="CZ60" s="7" t="s">
        <v>469</v>
      </c>
      <c r="DA60" s="7" t="s">
        <v>469</v>
      </c>
      <c r="DB60" s="64">
        <v>0</v>
      </c>
      <c r="DC60" s="7">
        <v>0</v>
      </c>
      <c r="DD60" s="7">
        <v>0</v>
      </c>
      <c r="DE60" s="7">
        <v>0</v>
      </c>
      <c r="DF60" s="7">
        <v>0</v>
      </c>
      <c r="DG60" s="7">
        <v>0</v>
      </c>
      <c r="DH60" s="7">
        <v>0</v>
      </c>
      <c r="DI60" s="7" t="s">
        <v>460</v>
      </c>
      <c r="DJ60" s="7">
        <v>0</v>
      </c>
      <c r="DK60" s="7"/>
      <c r="DL60" s="7"/>
      <c r="DM60" s="7"/>
      <c r="DN60" s="7"/>
      <c r="DO60" s="7"/>
      <c r="DP60" s="7">
        <v>0.2</v>
      </c>
      <c r="DQ60" s="7">
        <v>0</v>
      </c>
      <c r="DR60" s="7">
        <v>0</v>
      </c>
      <c r="DS60" s="7">
        <v>0</v>
      </c>
      <c r="DT60" s="12">
        <v>0</v>
      </c>
      <c r="DU60" s="7"/>
      <c r="DV60" s="7" t="s">
        <v>460</v>
      </c>
      <c r="DW60" s="7" t="s">
        <v>460</v>
      </c>
      <c r="DX60" s="7" t="s">
        <v>460</v>
      </c>
      <c r="DY60" s="7" t="s">
        <v>460</v>
      </c>
      <c r="DZ60" s="7">
        <v>0</v>
      </c>
      <c r="EA60" s="7">
        <v>0</v>
      </c>
    </row>
    <row r="61" spans="1:131" x14ac:dyDescent="0.3">
      <c r="A61" s="62" t="s">
        <v>583</v>
      </c>
      <c r="B61" s="7">
        <v>0</v>
      </c>
      <c r="C61" s="7">
        <v>0</v>
      </c>
      <c r="D61" s="7">
        <v>0</v>
      </c>
      <c r="E61" s="7">
        <v>0</v>
      </c>
      <c r="F61" s="7">
        <v>0</v>
      </c>
      <c r="G61" s="7">
        <v>0</v>
      </c>
      <c r="H61" s="7">
        <v>0</v>
      </c>
      <c r="I61" s="7"/>
      <c r="J61" s="7"/>
      <c r="K61" s="7"/>
      <c r="L61" s="7"/>
      <c r="M61" s="7"/>
      <c r="N61" s="7"/>
      <c r="O61" s="7"/>
      <c r="P61" s="7"/>
      <c r="Q61" s="7"/>
      <c r="R61" s="7" t="s">
        <v>460</v>
      </c>
      <c r="S61" s="7" t="s">
        <v>460</v>
      </c>
      <c r="T61" s="7" t="s">
        <v>460</v>
      </c>
      <c r="U61" s="7" t="s">
        <v>460</v>
      </c>
      <c r="V61" s="7" t="s">
        <v>460</v>
      </c>
      <c r="W61" s="7" t="s">
        <v>460</v>
      </c>
      <c r="X61" s="7" t="s">
        <v>469</v>
      </c>
      <c r="Y61" s="7" t="s">
        <v>469</v>
      </c>
      <c r="Z61" s="7" t="s">
        <v>469</v>
      </c>
      <c r="AA61" s="7" t="s">
        <v>469</v>
      </c>
      <c r="AB61" s="7" t="s">
        <v>469</v>
      </c>
      <c r="AC61" s="7" t="s">
        <v>469</v>
      </c>
      <c r="AD61" s="7" t="s">
        <v>469</v>
      </c>
      <c r="AE61" s="7">
        <v>0</v>
      </c>
      <c r="AF61" s="7" t="s">
        <v>460</v>
      </c>
      <c r="AG61" s="7" t="s">
        <v>460</v>
      </c>
      <c r="AH61" s="7" t="s">
        <v>460</v>
      </c>
      <c r="AI61" s="7"/>
      <c r="AJ61" s="7"/>
      <c r="AK61" s="7"/>
      <c r="AL61" s="7"/>
      <c r="AM61" s="7"/>
      <c r="AN61" s="7"/>
      <c r="AO61" s="7"/>
      <c r="AP61" s="7"/>
      <c r="AQ61" s="7"/>
      <c r="AR61" s="7"/>
      <c r="AS61" s="7"/>
      <c r="AT61" s="7"/>
      <c r="AU61" s="7"/>
      <c r="AV61" s="12">
        <v>0</v>
      </c>
      <c r="AW61" s="7">
        <v>0</v>
      </c>
      <c r="AX61" s="7">
        <v>0</v>
      </c>
      <c r="AY61" s="7">
        <v>0</v>
      </c>
      <c r="AZ61" s="7">
        <v>0</v>
      </c>
      <c r="BA61" s="7">
        <v>0</v>
      </c>
      <c r="BB61" s="12">
        <v>0</v>
      </c>
      <c r="BC61" s="7" t="s">
        <v>460</v>
      </c>
      <c r="BD61" s="7" t="s">
        <v>460</v>
      </c>
      <c r="BE61" s="7" t="s">
        <v>460</v>
      </c>
      <c r="BF61" s="7" t="s">
        <v>460</v>
      </c>
      <c r="BG61" s="7" t="s">
        <v>460</v>
      </c>
      <c r="BH61" s="12" t="s">
        <v>460</v>
      </c>
      <c r="BI61" s="63" t="s">
        <v>460</v>
      </c>
      <c r="BJ61" s="64" t="s">
        <v>460</v>
      </c>
      <c r="BK61" s="7">
        <v>0</v>
      </c>
      <c r="BL61" s="7" t="s">
        <v>460</v>
      </c>
      <c r="BM61" s="7">
        <v>0</v>
      </c>
      <c r="BN61" s="7" t="s">
        <v>460</v>
      </c>
      <c r="BO61" s="7" t="s">
        <v>460</v>
      </c>
      <c r="BP61" s="7" t="s">
        <v>460</v>
      </c>
      <c r="BQ61" s="7" t="s">
        <v>460</v>
      </c>
      <c r="BR61" s="7" t="s">
        <v>460</v>
      </c>
      <c r="BS61" s="7" t="s">
        <v>460</v>
      </c>
      <c r="BT61" s="7" t="s">
        <v>460</v>
      </c>
      <c r="BU61" s="7" t="s">
        <v>460</v>
      </c>
      <c r="BV61" s="7" t="s">
        <v>460</v>
      </c>
      <c r="BW61" s="7" t="str">
        <f t="shared" si="0"/>
        <v>N/A</v>
      </c>
      <c r="BX61" s="7">
        <v>0</v>
      </c>
      <c r="BY61" s="7">
        <v>0</v>
      </c>
      <c r="BZ61" s="7">
        <v>0</v>
      </c>
      <c r="CA61" s="7">
        <v>0</v>
      </c>
      <c r="CB61" s="7">
        <v>0</v>
      </c>
      <c r="CC61" s="7"/>
      <c r="CD61" s="7">
        <v>0</v>
      </c>
      <c r="CE61" s="7">
        <v>0</v>
      </c>
      <c r="CF61" s="7">
        <v>0</v>
      </c>
      <c r="CG61" s="7">
        <v>0</v>
      </c>
      <c r="CH61" s="7">
        <v>0</v>
      </c>
      <c r="CI61" s="7">
        <v>0</v>
      </c>
      <c r="CJ61" s="7">
        <v>0</v>
      </c>
      <c r="CK61" s="7">
        <v>0</v>
      </c>
      <c r="CL61" s="7">
        <v>0</v>
      </c>
      <c r="CM61" s="7" t="s">
        <v>460</v>
      </c>
      <c r="CN61" s="7"/>
      <c r="CO61" s="7"/>
      <c r="CP61" s="7"/>
      <c r="CQ61" s="7"/>
      <c r="CR61" s="7"/>
      <c r="CS61" s="7">
        <v>0</v>
      </c>
      <c r="CT61" s="7" t="s">
        <v>460</v>
      </c>
      <c r="CU61" s="7" t="s">
        <v>460</v>
      </c>
      <c r="CV61" s="7" t="s">
        <v>469</v>
      </c>
      <c r="CW61" s="7" t="s">
        <v>469</v>
      </c>
      <c r="CX61" s="7" t="s">
        <v>469</v>
      </c>
      <c r="CY61" s="7" t="s">
        <v>469</v>
      </c>
      <c r="CZ61" s="7" t="s">
        <v>469</v>
      </c>
      <c r="DA61" s="7" t="s">
        <v>469</v>
      </c>
      <c r="DB61" s="64">
        <v>0</v>
      </c>
      <c r="DC61" s="7">
        <v>0</v>
      </c>
      <c r="DD61" s="7">
        <v>0</v>
      </c>
      <c r="DE61" s="7">
        <v>0</v>
      </c>
      <c r="DF61" s="7">
        <v>0</v>
      </c>
      <c r="DG61" s="7">
        <v>0</v>
      </c>
      <c r="DH61" s="7">
        <v>0</v>
      </c>
      <c r="DI61" s="7" t="s">
        <v>460</v>
      </c>
      <c r="DJ61" s="7" t="s">
        <v>460</v>
      </c>
      <c r="DK61" s="7"/>
      <c r="DL61" s="7"/>
      <c r="DM61" s="7"/>
      <c r="DN61" s="7"/>
      <c r="DO61" s="7"/>
      <c r="DP61" s="7" t="s">
        <v>584</v>
      </c>
      <c r="DQ61" s="7">
        <v>0</v>
      </c>
      <c r="DR61" s="7">
        <v>0</v>
      </c>
      <c r="DS61" s="7">
        <v>0</v>
      </c>
      <c r="DT61" s="12">
        <v>0</v>
      </c>
      <c r="DU61" s="7"/>
      <c r="DV61" s="7" t="s">
        <v>460</v>
      </c>
      <c r="DW61" s="7" t="s">
        <v>460</v>
      </c>
      <c r="DX61" s="7" t="s">
        <v>460</v>
      </c>
      <c r="DY61" s="7" t="s">
        <v>460</v>
      </c>
      <c r="DZ61" s="7" t="s">
        <v>460</v>
      </c>
      <c r="EA61" s="7" t="s">
        <v>460</v>
      </c>
    </row>
    <row r="62" spans="1:131" x14ac:dyDescent="0.3">
      <c r="A62" s="62" t="s">
        <v>585</v>
      </c>
      <c r="B62" s="7">
        <v>0</v>
      </c>
      <c r="C62" s="7">
        <v>0</v>
      </c>
      <c r="D62" s="7">
        <v>0</v>
      </c>
      <c r="E62" s="7">
        <v>0</v>
      </c>
      <c r="F62" s="7">
        <v>0</v>
      </c>
      <c r="G62" s="7">
        <v>0</v>
      </c>
      <c r="H62" s="7">
        <v>0</v>
      </c>
      <c r="I62" s="7"/>
      <c r="J62" s="7"/>
      <c r="K62" s="7"/>
      <c r="L62" s="7"/>
      <c r="M62" s="7"/>
      <c r="N62" s="7"/>
      <c r="O62" s="7"/>
      <c r="P62" s="7"/>
      <c r="Q62" s="7"/>
      <c r="R62" s="7" t="s">
        <v>460</v>
      </c>
      <c r="S62" s="7" t="s">
        <v>460</v>
      </c>
      <c r="T62" s="7" t="s">
        <v>460</v>
      </c>
      <c r="U62" s="7" t="s">
        <v>460</v>
      </c>
      <c r="V62" s="7" t="s">
        <v>460</v>
      </c>
      <c r="W62" s="7" t="s">
        <v>460</v>
      </c>
      <c r="X62" s="7" t="s">
        <v>469</v>
      </c>
      <c r="Y62" s="7" t="s">
        <v>469</v>
      </c>
      <c r="Z62" s="7" t="s">
        <v>469</v>
      </c>
      <c r="AA62" s="7" t="s">
        <v>469</v>
      </c>
      <c r="AB62" s="7">
        <v>0</v>
      </c>
      <c r="AC62" s="7">
        <v>0</v>
      </c>
      <c r="AD62" s="7">
        <v>0</v>
      </c>
      <c r="AE62" s="7">
        <v>0</v>
      </c>
      <c r="AF62" s="7" t="s">
        <v>460</v>
      </c>
      <c r="AG62" s="7" t="s">
        <v>460</v>
      </c>
      <c r="AH62" s="7" t="s">
        <v>460</v>
      </c>
      <c r="AI62" s="7"/>
      <c r="AJ62" s="7"/>
      <c r="AK62" s="7"/>
      <c r="AL62" s="7"/>
      <c r="AM62" s="7"/>
      <c r="AN62" s="7"/>
      <c r="AO62" s="7"/>
      <c r="AP62" s="7"/>
      <c r="AQ62" s="7"/>
      <c r="AR62" s="7"/>
      <c r="AS62" s="7"/>
      <c r="AT62" s="7"/>
      <c r="AU62" s="7"/>
      <c r="AV62" s="12">
        <v>0</v>
      </c>
      <c r="AW62" s="7">
        <v>0</v>
      </c>
      <c r="AX62" s="7">
        <v>0</v>
      </c>
      <c r="AY62" s="7">
        <v>0</v>
      </c>
      <c r="AZ62" s="7">
        <v>0</v>
      </c>
      <c r="BA62" s="7">
        <v>0</v>
      </c>
      <c r="BB62" s="12">
        <v>0</v>
      </c>
      <c r="BC62" s="7" t="s">
        <v>460</v>
      </c>
      <c r="BD62" s="7" t="s">
        <v>460</v>
      </c>
      <c r="BE62" s="7" t="s">
        <v>460</v>
      </c>
      <c r="BF62" s="7" t="s">
        <v>460</v>
      </c>
      <c r="BG62" s="7" t="s">
        <v>460</v>
      </c>
      <c r="BH62" s="12" t="s">
        <v>460</v>
      </c>
      <c r="BI62" s="63" t="s">
        <v>460</v>
      </c>
      <c r="BJ62" s="64" t="s">
        <v>460</v>
      </c>
      <c r="BK62" s="7">
        <v>0</v>
      </c>
      <c r="BL62" s="7" t="s">
        <v>460</v>
      </c>
      <c r="BM62" s="7">
        <v>0</v>
      </c>
      <c r="BN62" s="7" t="s">
        <v>460</v>
      </c>
      <c r="BO62" s="7" t="s">
        <v>460</v>
      </c>
      <c r="BP62" s="7" t="s">
        <v>460</v>
      </c>
      <c r="BQ62" s="7" t="s">
        <v>460</v>
      </c>
      <c r="BR62" s="7" t="s">
        <v>460</v>
      </c>
      <c r="BS62" s="7" t="s">
        <v>460</v>
      </c>
      <c r="BT62" s="7" t="s">
        <v>460</v>
      </c>
      <c r="BU62" s="7" t="s">
        <v>460</v>
      </c>
      <c r="BV62" s="7" t="s">
        <v>460</v>
      </c>
      <c r="BW62" s="7" t="str">
        <f t="shared" si="0"/>
        <v>N/A</v>
      </c>
      <c r="BX62" s="7">
        <v>0</v>
      </c>
      <c r="BY62" s="7">
        <v>0</v>
      </c>
      <c r="BZ62" s="7">
        <v>0</v>
      </c>
      <c r="CA62" s="7">
        <v>0</v>
      </c>
      <c r="CB62" s="7">
        <v>0</v>
      </c>
      <c r="CC62" s="7"/>
      <c r="CD62" s="7">
        <v>0</v>
      </c>
      <c r="CE62" s="7">
        <v>0</v>
      </c>
      <c r="CF62" s="7">
        <v>0</v>
      </c>
      <c r="CG62" s="7">
        <v>0</v>
      </c>
      <c r="CH62" s="7">
        <v>0</v>
      </c>
      <c r="CI62" s="7">
        <v>0</v>
      </c>
      <c r="CJ62" s="7">
        <v>0</v>
      </c>
      <c r="CK62" s="7">
        <v>0</v>
      </c>
      <c r="CL62" s="7">
        <v>0</v>
      </c>
      <c r="CM62" s="7" t="s">
        <v>460</v>
      </c>
      <c r="CN62" s="7"/>
      <c r="CO62" s="7"/>
      <c r="CP62" s="7"/>
      <c r="CQ62" s="7"/>
      <c r="CR62" s="7"/>
      <c r="CS62" s="7">
        <v>0</v>
      </c>
      <c r="CT62" s="7" t="s">
        <v>460</v>
      </c>
      <c r="CU62" s="7" t="s">
        <v>460</v>
      </c>
      <c r="CV62" s="7">
        <v>0</v>
      </c>
      <c r="CW62" s="7">
        <v>0</v>
      </c>
      <c r="CX62" s="7">
        <v>0</v>
      </c>
      <c r="CY62" s="7">
        <v>0</v>
      </c>
      <c r="CZ62" s="7">
        <v>0</v>
      </c>
      <c r="DA62" s="7">
        <v>0</v>
      </c>
      <c r="DB62" s="64">
        <v>0</v>
      </c>
      <c r="DC62" s="7">
        <v>0</v>
      </c>
      <c r="DD62" s="7">
        <v>0</v>
      </c>
      <c r="DE62" s="7">
        <v>0</v>
      </c>
      <c r="DF62" s="7">
        <v>0</v>
      </c>
      <c r="DG62" s="7">
        <v>0</v>
      </c>
      <c r="DH62" s="7">
        <v>0</v>
      </c>
      <c r="DI62" s="7" t="s">
        <v>460</v>
      </c>
      <c r="DJ62" s="7" t="s">
        <v>460</v>
      </c>
      <c r="DK62" s="7"/>
      <c r="DL62" s="7"/>
      <c r="DM62" s="7"/>
      <c r="DN62" s="7"/>
      <c r="DO62" s="7"/>
      <c r="DP62" s="7">
        <v>0</v>
      </c>
      <c r="DQ62" s="7">
        <v>0</v>
      </c>
      <c r="DR62" s="7">
        <v>0</v>
      </c>
      <c r="DS62" s="7">
        <v>0</v>
      </c>
      <c r="DT62" s="12">
        <v>0</v>
      </c>
      <c r="DU62" s="7"/>
      <c r="DV62" s="7" t="s">
        <v>460</v>
      </c>
      <c r="DW62" s="7" t="s">
        <v>460</v>
      </c>
      <c r="DX62" s="7" t="s">
        <v>460</v>
      </c>
      <c r="DY62" s="7" t="s">
        <v>460</v>
      </c>
      <c r="DZ62" s="7" t="s">
        <v>460</v>
      </c>
      <c r="EA62" s="7" t="s">
        <v>460</v>
      </c>
    </row>
    <row r="63" spans="1:131" x14ac:dyDescent="0.3">
      <c r="A63" s="62" t="s">
        <v>586</v>
      </c>
      <c r="B63" s="7" t="s">
        <v>469</v>
      </c>
      <c r="C63" s="7" t="s">
        <v>469</v>
      </c>
      <c r="D63" s="7" t="s">
        <v>469</v>
      </c>
      <c r="E63" s="7" t="s">
        <v>469</v>
      </c>
      <c r="F63" s="7" t="s">
        <v>469</v>
      </c>
      <c r="G63" s="7" t="s">
        <v>469</v>
      </c>
      <c r="H63" s="7" t="s">
        <v>469</v>
      </c>
      <c r="I63" s="7" t="s">
        <v>469</v>
      </c>
      <c r="J63" s="7" t="s">
        <v>469</v>
      </c>
      <c r="K63" s="7" t="s">
        <v>469</v>
      </c>
      <c r="L63" s="7" t="s">
        <v>469</v>
      </c>
      <c r="M63" s="7" t="s">
        <v>469</v>
      </c>
      <c r="N63" s="7" t="s">
        <v>469</v>
      </c>
      <c r="O63" s="7" t="s">
        <v>469</v>
      </c>
      <c r="P63" s="7" t="s">
        <v>469</v>
      </c>
      <c r="Q63" s="7" t="s">
        <v>469</v>
      </c>
      <c r="R63" s="7" t="s">
        <v>469</v>
      </c>
      <c r="S63" s="7" t="s">
        <v>469</v>
      </c>
      <c r="T63" s="7" t="s">
        <v>469</v>
      </c>
      <c r="U63" s="7" t="s">
        <v>469</v>
      </c>
      <c r="V63" s="7" t="s">
        <v>469</v>
      </c>
      <c r="W63" s="7" t="s">
        <v>587</v>
      </c>
      <c r="X63" s="7" t="s">
        <v>469</v>
      </c>
      <c r="Y63" s="7" t="s">
        <v>469</v>
      </c>
      <c r="Z63" s="7" t="s">
        <v>469</v>
      </c>
      <c r="AA63" s="7" t="s">
        <v>469</v>
      </c>
      <c r="AB63" s="7" t="s">
        <v>469</v>
      </c>
      <c r="AC63" s="7" t="s">
        <v>469</v>
      </c>
      <c r="AD63" s="7" t="s">
        <v>469</v>
      </c>
      <c r="AE63" s="7" t="s">
        <v>469</v>
      </c>
      <c r="AF63" s="7" t="s">
        <v>587</v>
      </c>
      <c r="AG63" s="7" t="s">
        <v>587</v>
      </c>
      <c r="AH63" s="7" t="s">
        <v>588</v>
      </c>
      <c r="AI63" s="7" t="s">
        <v>587</v>
      </c>
      <c r="AJ63" s="7" t="s">
        <v>587</v>
      </c>
      <c r="AK63" s="7" t="s">
        <v>587</v>
      </c>
      <c r="AL63" s="7" t="s">
        <v>587</v>
      </c>
      <c r="AM63" s="7" t="s">
        <v>469</v>
      </c>
      <c r="AN63" s="7" t="s">
        <v>587</v>
      </c>
      <c r="AO63" s="7" t="s">
        <v>587</v>
      </c>
      <c r="AP63" s="7" t="s">
        <v>587</v>
      </c>
      <c r="AQ63" s="7" t="s">
        <v>587</v>
      </c>
      <c r="AR63" s="7" t="s">
        <v>587</v>
      </c>
      <c r="AS63" s="7" t="s">
        <v>587</v>
      </c>
      <c r="AT63" s="7" t="s">
        <v>587</v>
      </c>
      <c r="AU63" s="7" t="s">
        <v>469</v>
      </c>
      <c r="AV63" s="12" t="s">
        <v>587</v>
      </c>
      <c r="AW63" s="7" t="s">
        <v>587</v>
      </c>
      <c r="AX63" s="7" t="s">
        <v>587</v>
      </c>
      <c r="AY63" s="7" t="s">
        <v>587</v>
      </c>
      <c r="AZ63" s="7" t="s">
        <v>587</v>
      </c>
      <c r="BA63" s="7" t="s">
        <v>587</v>
      </c>
      <c r="BB63" s="12" t="s">
        <v>587</v>
      </c>
      <c r="BC63" s="7" t="s">
        <v>469</v>
      </c>
      <c r="BD63" s="7" t="s">
        <v>587</v>
      </c>
      <c r="BE63" s="7" t="s">
        <v>469</v>
      </c>
      <c r="BF63" s="7" t="s">
        <v>587</v>
      </c>
      <c r="BG63" s="7" t="s">
        <v>587</v>
      </c>
      <c r="BH63" s="12" t="s">
        <v>587</v>
      </c>
      <c r="BI63" s="63" t="s">
        <v>469</v>
      </c>
      <c r="BJ63" s="64" t="s">
        <v>469</v>
      </c>
      <c r="BK63" s="7" t="s">
        <v>469</v>
      </c>
      <c r="BL63" s="7" t="s">
        <v>587</v>
      </c>
      <c r="BM63" s="7" t="s">
        <v>587</v>
      </c>
      <c r="BN63" s="7" t="s">
        <v>587</v>
      </c>
      <c r="BO63" s="7" t="s">
        <v>587</v>
      </c>
      <c r="BP63" s="7" t="s">
        <v>587</v>
      </c>
      <c r="BQ63" s="7" t="s">
        <v>469</v>
      </c>
      <c r="BR63" s="7" t="s">
        <v>587</v>
      </c>
      <c r="BS63" s="7" t="s">
        <v>469</v>
      </c>
      <c r="BT63" s="7" t="s">
        <v>469</v>
      </c>
      <c r="BU63" s="7" t="s">
        <v>587</v>
      </c>
      <c r="BV63" s="7" t="s">
        <v>469</v>
      </c>
      <c r="BW63" s="7" t="str">
        <f t="shared" si="0"/>
        <v>NO</v>
      </c>
      <c r="BX63" s="7" t="s">
        <v>587</v>
      </c>
      <c r="BY63" s="7" t="s">
        <v>469</v>
      </c>
      <c r="BZ63" s="7" t="s">
        <v>469</v>
      </c>
      <c r="CA63" s="7" t="s">
        <v>469</v>
      </c>
      <c r="CB63" s="7" t="s">
        <v>469</v>
      </c>
      <c r="CC63" s="7" t="s">
        <v>587</v>
      </c>
      <c r="CD63" s="7" t="s">
        <v>469</v>
      </c>
      <c r="CE63" s="7" t="s">
        <v>587</v>
      </c>
      <c r="CF63" s="7" t="s">
        <v>587</v>
      </c>
      <c r="CG63" s="7" t="s">
        <v>587</v>
      </c>
      <c r="CH63" s="7" t="s">
        <v>587</v>
      </c>
      <c r="CI63" s="7" t="s">
        <v>587</v>
      </c>
      <c r="CJ63" s="7" t="s">
        <v>587</v>
      </c>
      <c r="CK63" s="7" t="s">
        <v>587</v>
      </c>
      <c r="CL63" s="7" t="s">
        <v>587</v>
      </c>
      <c r="CM63" s="7" t="s">
        <v>587</v>
      </c>
      <c r="CN63" s="7" t="s">
        <v>469</v>
      </c>
      <c r="CO63" s="7" t="s">
        <v>469</v>
      </c>
      <c r="CP63" s="7" t="s">
        <v>469</v>
      </c>
      <c r="CQ63" s="7" t="s">
        <v>469</v>
      </c>
      <c r="CR63" s="7" t="s">
        <v>469</v>
      </c>
      <c r="CS63" s="7" t="s">
        <v>469</v>
      </c>
      <c r="CT63" s="7" t="s">
        <v>587</v>
      </c>
      <c r="CU63" s="7" t="s">
        <v>587</v>
      </c>
      <c r="CV63" s="7" t="s">
        <v>469</v>
      </c>
      <c r="CW63" s="7" t="s">
        <v>469</v>
      </c>
      <c r="CX63" s="7" t="s">
        <v>469</v>
      </c>
      <c r="CY63" s="7" t="s">
        <v>469</v>
      </c>
      <c r="CZ63" s="7" t="s">
        <v>469</v>
      </c>
      <c r="DA63" s="7" t="s">
        <v>469</v>
      </c>
      <c r="DB63" s="64" t="s">
        <v>469</v>
      </c>
      <c r="DC63" s="7" t="s">
        <v>469</v>
      </c>
      <c r="DD63" s="7" t="s">
        <v>469</v>
      </c>
      <c r="DE63" s="7" t="s">
        <v>469</v>
      </c>
      <c r="DF63" s="7" t="s">
        <v>469</v>
      </c>
      <c r="DG63" s="7" t="s">
        <v>469</v>
      </c>
      <c r="DH63" s="7" t="s">
        <v>469</v>
      </c>
      <c r="DI63" s="7" t="s">
        <v>469</v>
      </c>
      <c r="DJ63" s="7" t="s">
        <v>469</v>
      </c>
      <c r="DK63" s="7" t="s">
        <v>587</v>
      </c>
      <c r="DL63" s="7" t="s">
        <v>587</v>
      </c>
      <c r="DM63" s="7" t="s">
        <v>469</v>
      </c>
      <c r="DN63" s="7" t="s">
        <v>587</v>
      </c>
      <c r="DO63" s="7" t="s">
        <v>587</v>
      </c>
      <c r="DP63" s="7" t="s">
        <v>587</v>
      </c>
      <c r="DQ63" s="7" t="s">
        <v>587</v>
      </c>
      <c r="DR63" s="7" t="s">
        <v>587</v>
      </c>
      <c r="DS63" s="7" t="s">
        <v>587</v>
      </c>
      <c r="DT63" s="12" t="s">
        <v>587</v>
      </c>
      <c r="DU63" s="7" t="s">
        <v>587</v>
      </c>
      <c r="DV63" s="7" t="s">
        <v>469</v>
      </c>
      <c r="DW63" s="7" t="s">
        <v>587</v>
      </c>
      <c r="DX63" s="7" t="s">
        <v>587</v>
      </c>
      <c r="DY63" s="7" t="s">
        <v>469</v>
      </c>
      <c r="DZ63" s="7" t="s">
        <v>469</v>
      </c>
      <c r="EA63" s="7" t="s">
        <v>587</v>
      </c>
    </row>
    <row r="64" spans="1:131" x14ac:dyDescent="0.3">
      <c r="A64" s="62" t="s">
        <v>589</v>
      </c>
      <c r="B64" s="7" t="s">
        <v>590</v>
      </c>
      <c r="C64" s="7" t="s">
        <v>590</v>
      </c>
      <c r="D64" s="7" t="s">
        <v>590</v>
      </c>
      <c r="E64" s="7" t="s">
        <v>590</v>
      </c>
      <c r="F64" s="7" t="s">
        <v>590</v>
      </c>
      <c r="G64" s="7" t="s">
        <v>590</v>
      </c>
      <c r="H64" s="7" t="s">
        <v>591</v>
      </c>
      <c r="I64" s="7" t="s">
        <v>469</v>
      </c>
      <c r="J64" s="7" t="s">
        <v>592</v>
      </c>
      <c r="K64" s="7" t="s">
        <v>469</v>
      </c>
      <c r="L64" s="7" t="s">
        <v>469</v>
      </c>
      <c r="M64" s="7" t="s">
        <v>469</v>
      </c>
      <c r="N64" s="7" t="s">
        <v>592</v>
      </c>
      <c r="O64" s="7" t="s">
        <v>592</v>
      </c>
      <c r="P64" s="7" t="s">
        <v>469</v>
      </c>
      <c r="Q64" s="7" t="s">
        <v>592</v>
      </c>
      <c r="R64" s="7" t="s">
        <v>587</v>
      </c>
      <c r="S64" s="7" t="s">
        <v>469</v>
      </c>
      <c r="T64" s="7" t="s">
        <v>587</v>
      </c>
      <c r="U64" s="7" t="s">
        <v>469</v>
      </c>
      <c r="V64" s="7" t="s">
        <v>469</v>
      </c>
      <c r="W64" s="7" t="s">
        <v>587</v>
      </c>
      <c r="X64" s="7" t="s">
        <v>587</v>
      </c>
      <c r="Y64" s="7" t="s">
        <v>469</v>
      </c>
      <c r="Z64" s="7" t="s">
        <v>469</v>
      </c>
      <c r="AA64" s="7" t="s">
        <v>469</v>
      </c>
      <c r="AB64" s="7" t="s">
        <v>587</v>
      </c>
      <c r="AC64" s="7" t="s">
        <v>469</v>
      </c>
      <c r="AD64" s="7" t="s">
        <v>469</v>
      </c>
      <c r="AE64" s="7" t="s">
        <v>469</v>
      </c>
      <c r="AF64" s="7" t="s">
        <v>593</v>
      </c>
      <c r="AG64" s="7" t="s">
        <v>592</v>
      </c>
      <c r="AH64" s="7" t="s">
        <v>588</v>
      </c>
      <c r="AI64" s="7" t="s">
        <v>469</v>
      </c>
      <c r="AJ64" s="7" t="s">
        <v>469</v>
      </c>
      <c r="AK64" s="7" t="s">
        <v>469</v>
      </c>
      <c r="AL64" s="7" t="s">
        <v>594</v>
      </c>
      <c r="AM64" s="7" t="s">
        <v>469</v>
      </c>
      <c r="AN64" s="7" t="s">
        <v>592</v>
      </c>
      <c r="AO64" s="7" t="s">
        <v>592</v>
      </c>
      <c r="AP64" s="7" t="s">
        <v>592</v>
      </c>
      <c r="AQ64" s="7" t="s">
        <v>469</v>
      </c>
      <c r="AR64" s="7" t="s">
        <v>592</v>
      </c>
      <c r="AS64" s="7" t="s">
        <v>592</v>
      </c>
      <c r="AT64" s="7" t="s">
        <v>592</v>
      </c>
      <c r="AU64" s="7" t="s">
        <v>469</v>
      </c>
      <c r="AV64" s="12" t="s">
        <v>590</v>
      </c>
      <c r="AW64" s="7" t="s">
        <v>590</v>
      </c>
      <c r="AX64" s="7" t="s">
        <v>590</v>
      </c>
      <c r="AY64" s="7" t="s">
        <v>590</v>
      </c>
      <c r="AZ64" s="7" t="s">
        <v>590</v>
      </c>
      <c r="BA64" s="7" t="s">
        <v>590</v>
      </c>
      <c r="BB64" s="12" t="s">
        <v>590</v>
      </c>
      <c r="BC64" s="7" t="s">
        <v>588</v>
      </c>
      <c r="BD64" s="7" t="s">
        <v>587</v>
      </c>
      <c r="BE64" s="7" t="s">
        <v>587</v>
      </c>
      <c r="BF64" s="7" t="s">
        <v>469</v>
      </c>
      <c r="BG64" s="7" t="s">
        <v>469</v>
      </c>
      <c r="BH64" s="12" t="s">
        <v>587</v>
      </c>
      <c r="BI64" s="63" t="s">
        <v>469</v>
      </c>
      <c r="BJ64" s="64" t="s">
        <v>587</v>
      </c>
      <c r="BK64" s="7" t="s">
        <v>592</v>
      </c>
      <c r="BL64" s="7" t="s">
        <v>592</v>
      </c>
      <c r="BM64" s="7" t="s">
        <v>592</v>
      </c>
      <c r="BN64" s="7" t="s">
        <v>592</v>
      </c>
      <c r="BO64" s="7" t="s">
        <v>592</v>
      </c>
      <c r="BP64" s="7" t="s">
        <v>587</v>
      </c>
      <c r="BQ64" s="7" t="s">
        <v>469</v>
      </c>
      <c r="BR64" s="7" t="s">
        <v>587</v>
      </c>
      <c r="BS64" s="7" t="s">
        <v>469</v>
      </c>
      <c r="BT64" s="7" t="s">
        <v>587</v>
      </c>
      <c r="BU64" s="7" t="s">
        <v>587</v>
      </c>
      <c r="BV64" s="7" t="s">
        <v>469</v>
      </c>
      <c r="BW64" s="7" t="s">
        <v>587</v>
      </c>
      <c r="BX64" s="7" t="s">
        <v>592</v>
      </c>
      <c r="BY64" s="7" t="s">
        <v>587</v>
      </c>
      <c r="BZ64" s="7" t="s">
        <v>469</v>
      </c>
      <c r="CA64" s="7" t="s">
        <v>592</v>
      </c>
      <c r="CB64" s="7" t="s">
        <v>469</v>
      </c>
      <c r="CC64" s="7" t="s">
        <v>592</v>
      </c>
      <c r="CD64" s="7" t="s">
        <v>592</v>
      </c>
      <c r="CE64" s="7" t="s">
        <v>587</v>
      </c>
      <c r="CF64" s="7" t="s">
        <v>587</v>
      </c>
      <c r="CG64" s="7" t="s">
        <v>592</v>
      </c>
      <c r="CH64" s="7" t="s">
        <v>590</v>
      </c>
      <c r="CI64" s="7" t="s">
        <v>469</v>
      </c>
      <c r="CJ64" s="7" t="s">
        <v>590</v>
      </c>
      <c r="CK64" s="7" t="s">
        <v>595</v>
      </c>
      <c r="CL64" s="7" t="s">
        <v>590</v>
      </c>
      <c r="CM64" s="7" t="s">
        <v>469</v>
      </c>
      <c r="CN64" s="7" t="s">
        <v>469</v>
      </c>
      <c r="CO64" s="7" t="s">
        <v>469</v>
      </c>
      <c r="CP64" s="7" t="s">
        <v>469</v>
      </c>
      <c r="CQ64" s="7" t="s">
        <v>592</v>
      </c>
      <c r="CR64" s="7" t="s">
        <v>469</v>
      </c>
      <c r="CS64" s="7" t="s">
        <v>590</v>
      </c>
      <c r="CT64" s="7" t="s">
        <v>460</v>
      </c>
      <c r="CU64" s="7" t="s">
        <v>592</v>
      </c>
      <c r="CV64" s="7" t="s">
        <v>587</v>
      </c>
      <c r="CW64" s="7" t="s">
        <v>469</v>
      </c>
      <c r="CX64" s="7" t="s">
        <v>587</v>
      </c>
      <c r="CY64" s="7" t="s">
        <v>587</v>
      </c>
      <c r="CZ64" s="7" t="s">
        <v>587</v>
      </c>
      <c r="DA64" s="7" t="s">
        <v>587</v>
      </c>
      <c r="DB64" s="64" t="s">
        <v>590</v>
      </c>
      <c r="DC64" s="7" t="s">
        <v>591</v>
      </c>
      <c r="DD64" s="7" t="s">
        <v>591</v>
      </c>
      <c r="DE64" s="7" t="s">
        <v>590</v>
      </c>
      <c r="DF64" s="7" t="s">
        <v>591</v>
      </c>
      <c r="DG64" s="7" t="s">
        <v>590</v>
      </c>
      <c r="DH64" s="7" t="s">
        <v>590</v>
      </c>
      <c r="DI64" s="7" t="s">
        <v>587</v>
      </c>
      <c r="DJ64" s="7" t="s">
        <v>469</v>
      </c>
      <c r="DK64" s="7" t="s">
        <v>592</v>
      </c>
      <c r="DL64" s="7" t="s">
        <v>592</v>
      </c>
      <c r="DM64" s="7" t="s">
        <v>469</v>
      </c>
      <c r="DN64" s="7" t="s">
        <v>592</v>
      </c>
      <c r="DO64" s="7" t="s">
        <v>469</v>
      </c>
      <c r="DP64" s="7" t="s">
        <v>590</v>
      </c>
      <c r="DQ64" s="7" t="s">
        <v>590</v>
      </c>
      <c r="DR64" s="7" t="s">
        <v>590</v>
      </c>
      <c r="DS64" s="7" t="s">
        <v>590</v>
      </c>
      <c r="DT64" s="12" t="s">
        <v>590</v>
      </c>
      <c r="DU64" s="7" t="s">
        <v>587</v>
      </c>
      <c r="DV64" s="7" t="s">
        <v>469</v>
      </c>
      <c r="DW64" s="7" t="s">
        <v>587</v>
      </c>
      <c r="DX64" s="7" t="s">
        <v>587</v>
      </c>
      <c r="DY64" s="7" t="s">
        <v>469</v>
      </c>
      <c r="DZ64" s="7" t="s">
        <v>469</v>
      </c>
      <c r="EA64" s="7" t="s">
        <v>592</v>
      </c>
    </row>
    <row r="65" spans="1:131" x14ac:dyDescent="0.3">
      <c r="A65" s="62" t="s">
        <v>596</v>
      </c>
      <c r="B65" s="7" t="s">
        <v>587</v>
      </c>
      <c r="C65" s="7" t="s">
        <v>587</v>
      </c>
      <c r="D65" s="7" t="s">
        <v>469</v>
      </c>
      <c r="E65" s="7" t="s">
        <v>587</v>
      </c>
      <c r="F65" s="7" t="s">
        <v>587</v>
      </c>
      <c r="G65" s="7" t="s">
        <v>587</v>
      </c>
      <c r="H65" s="7" t="s">
        <v>469</v>
      </c>
      <c r="I65" s="7" t="s">
        <v>469</v>
      </c>
      <c r="J65" s="7" t="s">
        <v>469</v>
      </c>
      <c r="K65" s="7" t="s">
        <v>469</v>
      </c>
      <c r="L65" s="7" t="s">
        <v>469</v>
      </c>
      <c r="M65" s="7" t="s">
        <v>469</v>
      </c>
      <c r="N65" s="7" t="s">
        <v>469</v>
      </c>
      <c r="O65" s="7" t="s">
        <v>587</v>
      </c>
      <c r="P65" s="7" t="s">
        <v>587</v>
      </c>
      <c r="Q65" s="7" t="s">
        <v>587</v>
      </c>
      <c r="R65" s="7" t="s">
        <v>587</v>
      </c>
      <c r="S65" s="7" t="s">
        <v>469</v>
      </c>
      <c r="T65" s="7" t="s">
        <v>587</v>
      </c>
      <c r="U65" s="7" t="s">
        <v>469</v>
      </c>
      <c r="V65" s="7" t="s">
        <v>469</v>
      </c>
      <c r="W65" s="7" t="s">
        <v>587</v>
      </c>
      <c r="X65" s="7" t="s">
        <v>469</v>
      </c>
      <c r="Y65" s="7" t="s">
        <v>469</v>
      </c>
      <c r="Z65" s="7" t="s">
        <v>469</v>
      </c>
      <c r="AA65" s="7" t="s">
        <v>469</v>
      </c>
      <c r="AB65" s="7" t="s">
        <v>587</v>
      </c>
      <c r="AC65" s="7" t="s">
        <v>469</v>
      </c>
      <c r="AD65" s="7" t="s">
        <v>469</v>
      </c>
      <c r="AE65" s="7" t="s">
        <v>469</v>
      </c>
      <c r="AF65" s="7" t="s">
        <v>469</v>
      </c>
      <c r="AG65" s="7" t="s">
        <v>469</v>
      </c>
      <c r="AH65" s="7" t="s">
        <v>587</v>
      </c>
      <c r="AI65" s="7" t="s">
        <v>587</v>
      </c>
      <c r="AJ65" s="7" t="s">
        <v>587</v>
      </c>
      <c r="AK65" s="7" t="s">
        <v>587</v>
      </c>
      <c r="AL65" s="7" t="s">
        <v>587</v>
      </c>
      <c r="AM65" s="7" t="s">
        <v>469</v>
      </c>
      <c r="AN65" s="7" t="s">
        <v>587</v>
      </c>
      <c r="AO65" s="7" t="s">
        <v>587</v>
      </c>
      <c r="AP65" s="7" t="s">
        <v>469</v>
      </c>
      <c r="AQ65" s="7" t="s">
        <v>587</v>
      </c>
      <c r="AR65" s="7" t="s">
        <v>587</v>
      </c>
      <c r="AS65" s="7" t="s">
        <v>587</v>
      </c>
      <c r="AT65" s="7" t="s">
        <v>469</v>
      </c>
      <c r="AU65" s="7" t="s">
        <v>469</v>
      </c>
      <c r="AV65" s="12" t="s">
        <v>587</v>
      </c>
      <c r="AW65" s="7" t="s">
        <v>469</v>
      </c>
      <c r="AX65" s="7" t="s">
        <v>587</v>
      </c>
      <c r="AY65" s="7" t="s">
        <v>587</v>
      </c>
      <c r="AZ65" s="7" t="s">
        <v>587</v>
      </c>
      <c r="BA65" s="7" t="s">
        <v>587</v>
      </c>
      <c r="BB65" s="12" t="s">
        <v>587</v>
      </c>
      <c r="BC65" s="7" t="s">
        <v>587</v>
      </c>
      <c r="BD65" s="7" t="s">
        <v>587</v>
      </c>
      <c r="BE65" s="7" t="s">
        <v>469</v>
      </c>
      <c r="BF65" s="7" t="s">
        <v>469</v>
      </c>
      <c r="BG65" s="7" t="s">
        <v>469</v>
      </c>
      <c r="BH65" s="12" t="s">
        <v>587</v>
      </c>
      <c r="BI65" s="63" t="s">
        <v>469</v>
      </c>
      <c r="BJ65" s="64" t="s">
        <v>469</v>
      </c>
      <c r="BK65" s="7" t="s">
        <v>587</v>
      </c>
      <c r="BL65" s="7" t="s">
        <v>587</v>
      </c>
      <c r="BM65" s="7" t="s">
        <v>587</v>
      </c>
      <c r="BN65" s="7" t="s">
        <v>587</v>
      </c>
      <c r="BO65" s="7" t="s">
        <v>587</v>
      </c>
      <c r="BP65" s="7" t="s">
        <v>469</v>
      </c>
      <c r="BQ65" s="7" t="s">
        <v>469</v>
      </c>
      <c r="BR65" s="7" t="s">
        <v>469</v>
      </c>
      <c r="BS65" s="7" t="s">
        <v>469</v>
      </c>
      <c r="BT65" s="7" t="s">
        <v>469</v>
      </c>
      <c r="BU65" s="7" t="s">
        <v>469</v>
      </c>
      <c r="BV65" s="7" t="s">
        <v>469</v>
      </c>
      <c r="BW65" s="7" t="str">
        <f t="shared" ref="BW65:BW71" si="1">BV65</f>
        <v>NO</v>
      </c>
      <c r="BX65" s="7" t="s">
        <v>587</v>
      </c>
      <c r="BY65" s="7" t="s">
        <v>469</v>
      </c>
      <c r="BZ65" s="7" t="s">
        <v>469</v>
      </c>
      <c r="CA65" s="7" t="s">
        <v>469</v>
      </c>
      <c r="CB65" s="7" t="s">
        <v>469</v>
      </c>
      <c r="CC65" s="7" t="s">
        <v>587</v>
      </c>
      <c r="CD65" s="7" t="s">
        <v>469</v>
      </c>
      <c r="CE65" s="7" t="s">
        <v>587</v>
      </c>
      <c r="CF65" s="7" t="s">
        <v>587</v>
      </c>
      <c r="CG65" s="7" t="s">
        <v>469</v>
      </c>
      <c r="CH65" s="7" t="s">
        <v>469</v>
      </c>
      <c r="CI65" s="7" t="s">
        <v>469</v>
      </c>
      <c r="CJ65" s="7" t="s">
        <v>469</v>
      </c>
      <c r="CK65" s="7" t="s">
        <v>587</v>
      </c>
      <c r="CL65" s="7" t="s">
        <v>587</v>
      </c>
      <c r="CM65" s="7" t="s">
        <v>587</v>
      </c>
      <c r="CN65" s="7" t="s">
        <v>587</v>
      </c>
      <c r="CO65" s="7" t="s">
        <v>587</v>
      </c>
      <c r="CP65" s="7" t="s">
        <v>469</v>
      </c>
      <c r="CQ65" s="7" t="s">
        <v>587</v>
      </c>
      <c r="CR65" s="7" t="s">
        <v>469</v>
      </c>
      <c r="CS65" s="7" t="s">
        <v>587</v>
      </c>
      <c r="CT65" s="7" t="s">
        <v>587</v>
      </c>
      <c r="CU65" s="7" t="s">
        <v>587</v>
      </c>
      <c r="CV65" s="7" t="s">
        <v>587</v>
      </c>
      <c r="CW65" s="7" t="s">
        <v>469</v>
      </c>
      <c r="CX65" s="7" t="s">
        <v>587</v>
      </c>
      <c r="CY65" s="7" t="s">
        <v>469</v>
      </c>
      <c r="CZ65" s="7" t="s">
        <v>587</v>
      </c>
      <c r="DA65" s="7" t="s">
        <v>587</v>
      </c>
      <c r="DB65" s="64" t="s">
        <v>469</v>
      </c>
      <c r="DC65" s="7" t="s">
        <v>469</v>
      </c>
      <c r="DD65" s="7" t="s">
        <v>469</v>
      </c>
      <c r="DE65" s="7" t="s">
        <v>587</v>
      </c>
      <c r="DF65" s="7" t="s">
        <v>469</v>
      </c>
      <c r="DG65" s="7" t="s">
        <v>587</v>
      </c>
      <c r="DH65" s="7" t="s">
        <v>587</v>
      </c>
      <c r="DI65" s="7" t="s">
        <v>469</v>
      </c>
      <c r="DJ65" s="7" t="s">
        <v>469</v>
      </c>
      <c r="DK65" s="7" t="s">
        <v>587</v>
      </c>
      <c r="DL65" s="7" t="s">
        <v>587</v>
      </c>
      <c r="DM65" s="7" t="s">
        <v>469</v>
      </c>
      <c r="DN65" s="7" t="s">
        <v>587</v>
      </c>
      <c r="DO65" s="7" t="s">
        <v>587</v>
      </c>
      <c r="DP65" s="7" t="s">
        <v>587</v>
      </c>
      <c r="DQ65" s="7" t="s">
        <v>587</v>
      </c>
      <c r="DR65" s="7" t="s">
        <v>587</v>
      </c>
      <c r="DS65" s="7" t="s">
        <v>587</v>
      </c>
      <c r="DT65" s="12" t="s">
        <v>587</v>
      </c>
      <c r="DU65" s="7" t="s">
        <v>587</v>
      </c>
      <c r="DV65" s="7" t="s">
        <v>587</v>
      </c>
      <c r="DW65" s="7" t="s">
        <v>587</v>
      </c>
      <c r="DX65" s="7" t="s">
        <v>587</v>
      </c>
      <c r="DY65" s="7" t="s">
        <v>469</v>
      </c>
      <c r="DZ65" s="7" t="s">
        <v>469</v>
      </c>
      <c r="EA65" s="7" t="s">
        <v>587</v>
      </c>
    </row>
    <row r="66" spans="1:131" x14ac:dyDescent="0.3">
      <c r="A66" s="62" t="s">
        <v>597</v>
      </c>
      <c r="B66" s="7" t="s">
        <v>587</v>
      </c>
      <c r="C66" s="7" t="s">
        <v>587</v>
      </c>
      <c r="D66" s="7" t="s">
        <v>587</v>
      </c>
      <c r="E66" s="7" t="s">
        <v>587</v>
      </c>
      <c r="F66" s="7" t="s">
        <v>587</v>
      </c>
      <c r="G66" s="7" t="s">
        <v>587</v>
      </c>
      <c r="H66" s="7" t="s">
        <v>587</v>
      </c>
      <c r="I66" s="7" t="s">
        <v>587</v>
      </c>
      <c r="J66" s="7" t="s">
        <v>587</v>
      </c>
      <c r="K66" s="7" t="s">
        <v>587</v>
      </c>
      <c r="L66" s="7" t="s">
        <v>587</v>
      </c>
      <c r="M66" s="7" t="s">
        <v>587</v>
      </c>
      <c r="N66" s="7" t="s">
        <v>587</v>
      </c>
      <c r="O66" s="7" t="s">
        <v>587</v>
      </c>
      <c r="P66" s="7" t="s">
        <v>587</v>
      </c>
      <c r="Q66" s="7" t="s">
        <v>587</v>
      </c>
      <c r="R66" s="7" t="s">
        <v>587</v>
      </c>
      <c r="S66" s="7" t="s">
        <v>469</v>
      </c>
      <c r="T66" s="7" t="s">
        <v>587</v>
      </c>
      <c r="U66" s="7" t="s">
        <v>469</v>
      </c>
      <c r="V66" s="7" t="s">
        <v>587</v>
      </c>
      <c r="W66" s="7" t="s">
        <v>587</v>
      </c>
      <c r="X66" s="7" t="s">
        <v>587</v>
      </c>
      <c r="Y66" s="7" t="s">
        <v>469</v>
      </c>
      <c r="Z66" s="7" t="s">
        <v>469</v>
      </c>
      <c r="AA66" s="7" t="s">
        <v>469</v>
      </c>
      <c r="AB66" s="7" t="s">
        <v>587</v>
      </c>
      <c r="AC66" s="7" t="s">
        <v>469</v>
      </c>
      <c r="AD66" s="7" t="s">
        <v>469</v>
      </c>
      <c r="AE66" s="7" t="s">
        <v>469</v>
      </c>
      <c r="AF66" s="7" t="s">
        <v>587</v>
      </c>
      <c r="AG66" s="7" t="s">
        <v>587</v>
      </c>
      <c r="AH66" s="7" t="s">
        <v>587</v>
      </c>
      <c r="AI66" s="7" t="s">
        <v>587</v>
      </c>
      <c r="AJ66" s="7" t="s">
        <v>587</v>
      </c>
      <c r="AK66" s="7" t="s">
        <v>587</v>
      </c>
      <c r="AL66" s="7" t="s">
        <v>587</v>
      </c>
      <c r="AM66" s="7" t="s">
        <v>587</v>
      </c>
      <c r="AN66" s="7" t="s">
        <v>587</v>
      </c>
      <c r="AO66" s="7" t="s">
        <v>587</v>
      </c>
      <c r="AP66" s="7" t="s">
        <v>587</v>
      </c>
      <c r="AQ66" s="7" t="s">
        <v>587</v>
      </c>
      <c r="AR66" s="7" t="s">
        <v>587</v>
      </c>
      <c r="AS66" s="7" t="s">
        <v>587</v>
      </c>
      <c r="AT66" s="7" t="s">
        <v>587</v>
      </c>
      <c r="AU66" s="7" t="s">
        <v>587</v>
      </c>
      <c r="AV66" s="12" t="s">
        <v>587</v>
      </c>
      <c r="AW66" s="7" t="s">
        <v>587</v>
      </c>
      <c r="AX66" s="7" t="s">
        <v>587</v>
      </c>
      <c r="AY66" s="7" t="s">
        <v>587</v>
      </c>
      <c r="AZ66" s="7" t="s">
        <v>587</v>
      </c>
      <c r="BA66" s="7" t="s">
        <v>587</v>
      </c>
      <c r="BB66" s="12" t="s">
        <v>587</v>
      </c>
      <c r="BC66" s="7" t="s">
        <v>587</v>
      </c>
      <c r="BD66" s="7" t="s">
        <v>587</v>
      </c>
      <c r="BE66" s="7" t="s">
        <v>469</v>
      </c>
      <c r="BF66" s="7" t="s">
        <v>469</v>
      </c>
      <c r="BG66" s="7" t="s">
        <v>469</v>
      </c>
      <c r="BH66" s="12" t="s">
        <v>587</v>
      </c>
      <c r="BI66" s="63" t="s">
        <v>469</v>
      </c>
      <c r="BJ66" s="64" t="s">
        <v>469</v>
      </c>
      <c r="BK66" s="7" t="s">
        <v>587</v>
      </c>
      <c r="BL66" s="7" t="s">
        <v>469</v>
      </c>
      <c r="BM66" s="7" t="s">
        <v>587</v>
      </c>
      <c r="BN66" s="7" t="s">
        <v>587</v>
      </c>
      <c r="BO66" s="7" t="s">
        <v>469</v>
      </c>
      <c r="BP66" s="7" t="s">
        <v>587</v>
      </c>
      <c r="BQ66" s="7" t="s">
        <v>469</v>
      </c>
      <c r="BR66" s="7" t="s">
        <v>469</v>
      </c>
      <c r="BS66" s="7" t="s">
        <v>587</v>
      </c>
      <c r="BT66" s="7" t="s">
        <v>587</v>
      </c>
      <c r="BU66" s="7" t="s">
        <v>587</v>
      </c>
      <c r="BV66" s="7" t="s">
        <v>469</v>
      </c>
      <c r="BW66" s="7" t="str">
        <f t="shared" si="1"/>
        <v>NO</v>
      </c>
      <c r="BX66" s="7" t="s">
        <v>587</v>
      </c>
      <c r="BY66" s="7" t="s">
        <v>587</v>
      </c>
      <c r="BZ66" s="7" t="s">
        <v>587</v>
      </c>
      <c r="CA66" s="7" t="s">
        <v>469</v>
      </c>
      <c r="CB66" s="7" t="s">
        <v>469</v>
      </c>
      <c r="CC66" s="7" t="s">
        <v>587</v>
      </c>
      <c r="CD66" s="7" t="s">
        <v>587</v>
      </c>
      <c r="CE66" s="7" t="s">
        <v>587</v>
      </c>
      <c r="CF66" s="7" t="s">
        <v>587</v>
      </c>
      <c r="CG66" s="7" t="s">
        <v>587</v>
      </c>
      <c r="CH66" s="7" t="s">
        <v>587</v>
      </c>
      <c r="CI66" s="7" t="s">
        <v>469</v>
      </c>
      <c r="CJ66" s="7" t="s">
        <v>587</v>
      </c>
      <c r="CK66" s="7" t="s">
        <v>587</v>
      </c>
      <c r="CL66" s="7" t="s">
        <v>587</v>
      </c>
      <c r="CM66" s="7" t="s">
        <v>587</v>
      </c>
      <c r="CN66" s="7" t="s">
        <v>587</v>
      </c>
      <c r="CO66" s="7" t="s">
        <v>587</v>
      </c>
      <c r="CP66" s="7" t="s">
        <v>587</v>
      </c>
      <c r="CQ66" s="7" t="s">
        <v>587</v>
      </c>
      <c r="CR66" s="7" t="s">
        <v>587</v>
      </c>
      <c r="CS66" s="7" t="s">
        <v>587</v>
      </c>
      <c r="CT66" s="7" t="s">
        <v>587</v>
      </c>
      <c r="CU66" s="7" t="s">
        <v>587</v>
      </c>
      <c r="CV66" s="7" t="s">
        <v>587</v>
      </c>
      <c r="CW66" s="7" t="s">
        <v>469</v>
      </c>
      <c r="CX66" s="7" t="s">
        <v>587</v>
      </c>
      <c r="CY66" s="7" t="s">
        <v>469</v>
      </c>
      <c r="CZ66" s="7" t="s">
        <v>587</v>
      </c>
      <c r="DA66" s="7" t="s">
        <v>587</v>
      </c>
      <c r="DB66" s="64" t="s">
        <v>587</v>
      </c>
      <c r="DC66" s="7" t="s">
        <v>587</v>
      </c>
      <c r="DD66" s="7" t="s">
        <v>587</v>
      </c>
      <c r="DE66" s="7" t="s">
        <v>587</v>
      </c>
      <c r="DF66" s="7" t="s">
        <v>587</v>
      </c>
      <c r="DG66" s="7" t="s">
        <v>587</v>
      </c>
      <c r="DH66" s="7" t="s">
        <v>587</v>
      </c>
      <c r="DI66" s="7" t="s">
        <v>587</v>
      </c>
      <c r="DJ66" s="7" t="s">
        <v>469</v>
      </c>
      <c r="DK66" s="7" t="s">
        <v>587</v>
      </c>
      <c r="DL66" s="7" t="s">
        <v>587</v>
      </c>
      <c r="DM66" s="7" t="s">
        <v>587</v>
      </c>
      <c r="DN66" s="7" t="s">
        <v>587</v>
      </c>
      <c r="DO66" s="7" t="s">
        <v>587</v>
      </c>
      <c r="DP66" s="7" t="s">
        <v>587</v>
      </c>
      <c r="DQ66" s="7" t="s">
        <v>587</v>
      </c>
      <c r="DR66" s="7" t="s">
        <v>587</v>
      </c>
      <c r="DS66" s="7" t="s">
        <v>587</v>
      </c>
      <c r="DT66" s="12" t="s">
        <v>587</v>
      </c>
      <c r="DU66" s="7" t="s">
        <v>587</v>
      </c>
      <c r="DV66" s="7" t="s">
        <v>587</v>
      </c>
      <c r="DW66" s="7" t="s">
        <v>587</v>
      </c>
      <c r="DX66" s="7" t="s">
        <v>587</v>
      </c>
      <c r="DY66" s="7" t="s">
        <v>469</v>
      </c>
      <c r="DZ66" s="7" t="s">
        <v>469</v>
      </c>
      <c r="EA66" s="7" t="s">
        <v>587</v>
      </c>
    </row>
    <row r="67" spans="1:131" x14ac:dyDescent="0.3">
      <c r="A67" s="62" t="s">
        <v>598</v>
      </c>
      <c r="B67" s="7" t="s">
        <v>469</v>
      </c>
      <c r="C67" s="7" t="s">
        <v>469</v>
      </c>
      <c r="D67" s="7" t="s">
        <v>469</v>
      </c>
      <c r="E67" s="7" t="s">
        <v>469</v>
      </c>
      <c r="F67" s="7" t="s">
        <v>469</v>
      </c>
      <c r="G67" s="7" t="s">
        <v>469</v>
      </c>
      <c r="H67" s="7" t="s">
        <v>469</v>
      </c>
      <c r="I67" s="7" t="s">
        <v>469</v>
      </c>
      <c r="J67" s="7" t="s">
        <v>469</v>
      </c>
      <c r="K67" s="7" t="s">
        <v>469</v>
      </c>
      <c r="L67" s="7" t="s">
        <v>469</v>
      </c>
      <c r="M67" s="7" t="s">
        <v>469</v>
      </c>
      <c r="N67" s="7" t="s">
        <v>469</v>
      </c>
      <c r="O67" s="7" t="s">
        <v>469</v>
      </c>
      <c r="P67" s="7" t="s">
        <v>469</v>
      </c>
      <c r="Q67" s="7" t="s">
        <v>469</v>
      </c>
      <c r="R67" s="7" t="s">
        <v>469</v>
      </c>
      <c r="S67" s="7" t="s">
        <v>469</v>
      </c>
      <c r="T67" s="7" t="s">
        <v>469</v>
      </c>
      <c r="U67" s="7" t="s">
        <v>469</v>
      </c>
      <c r="V67" s="7" t="s">
        <v>469</v>
      </c>
      <c r="W67" s="7" t="s">
        <v>469</v>
      </c>
      <c r="X67" s="7" t="s">
        <v>469</v>
      </c>
      <c r="Y67" s="7" t="s">
        <v>469</v>
      </c>
      <c r="Z67" s="7" t="s">
        <v>469</v>
      </c>
      <c r="AA67" s="7" t="s">
        <v>587</v>
      </c>
      <c r="AB67" s="7" t="s">
        <v>469</v>
      </c>
      <c r="AC67" s="7" t="s">
        <v>469</v>
      </c>
      <c r="AD67" s="7" t="s">
        <v>469</v>
      </c>
      <c r="AE67" s="7" t="s">
        <v>469</v>
      </c>
      <c r="AF67" s="7" t="s">
        <v>469</v>
      </c>
      <c r="AG67" s="7" t="s">
        <v>587</v>
      </c>
      <c r="AH67" s="7" t="s">
        <v>588</v>
      </c>
      <c r="AI67" s="7" t="s">
        <v>469</v>
      </c>
      <c r="AJ67" s="7" t="s">
        <v>469</v>
      </c>
      <c r="AK67" s="7" t="s">
        <v>469</v>
      </c>
      <c r="AL67" s="7" t="s">
        <v>469</v>
      </c>
      <c r="AM67" s="7" t="s">
        <v>469</v>
      </c>
      <c r="AN67" s="7" t="s">
        <v>587</v>
      </c>
      <c r="AO67" s="7" t="s">
        <v>469</v>
      </c>
      <c r="AP67" s="7" t="s">
        <v>587</v>
      </c>
      <c r="AQ67" s="7" t="s">
        <v>469</v>
      </c>
      <c r="AR67" s="7" t="s">
        <v>469</v>
      </c>
      <c r="AS67" s="7" t="s">
        <v>469</v>
      </c>
      <c r="AT67" s="7" t="s">
        <v>469</v>
      </c>
      <c r="AU67" s="7" t="s">
        <v>469</v>
      </c>
      <c r="AV67" s="12" t="s">
        <v>587</v>
      </c>
      <c r="AW67" s="7" t="s">
        <v>469</v>
      </c>
      <c r="AX67" s="7" t="s">
        <v>587</v>
      </c>
      <c r="AY67" s="7" t="s">
        <v>469</v>
      </c>
      <c r="AZ67" s="7" t="s">
        <v>469</v>
      </c>
      <c r="BA67" s="7" t="s">
        <v>469</v>
      </c>
      <c r="BB67" s="12" t="s">
        <v>469</v>
      </c>
      <c r="BC67" s="7" t="s">
        <v>469</v>
      </c>
      <c r="BD67" s="7" t="s">
        <v>469</v>
      </c>
      <c r="BE67" s="7" t="s">
        <v>469</v>
      </c>
      <c r="BF67" s="7" t="s">
        <v>469</v>
      </c>
      <c r="BG67" s="7" t="s">
        <v>469</v>
      </c>
      <c r="BH67" s="12" t="s">
        <v>469</v>
      </c>
      <c r="BI67" s="63" t="s">
        <v>469</v>
      </c>
      <c r="BJ67" s="64" t="s">
        <v>469</v>
      </c>
      <c r="BK67" s="7" t="s">
        <v>469</v>
      </c>
      <c r="BL67" s="7" t="s">
        <v>469</v>
      </c>
      <c r="BM67" s="7" t="s">
        <v>469</v>
      </c>
      <c r="BN67" s="7" t="s">
        <v>587</v>
      </c>
      <c r="BO67" s="7" t="s">
        <v>469</v>
      </c>
      <c r="BP67" s="7" t="s">
        <v>469</v>
      </c>
      <c r="BQ67" s="7" t="s">
        <v>469</v>
      </c>
      <c r="BR67" s="7" t="s">
        <v>469</v>
      </c>
      <c r="BS67" s="7" t="s">
        <v>469</v>
      </c>
      <c r="BT67" s="7" t="s">
        <v>469</v>
      </c>
      <c r="BU67" s="7" t="s">
        <v>469</v>
      </c>
      <c r="BV67" s="7" t="s">
        <v>469</v>
      </c>
      <c r="BW67" s="7" t="str">
        <f t="shared" si="1"/>
        <v>NO</v>
      </c>
      <c r="BX67" s="7" t="s">
        <v>469</v>
      </c>
      <c r="BY67" s="7" t="s">
        <v>469</v>
      </c>
      <c r="BZ67" s="7" t="s">
        <v>469</v>
      </c>
      <c r="CA67" s="7" t="s">
        <v>469</v>
      </c>
      <c r="CB67" s="7" t="s">
        <v>469</v>
      </c>
      <c r="CC67" s="7" t="s">
        <v>469</v>
      </c>
      <c r="CD67" s="7" t="s">
        <v>469</v>
      </c>
      <c r="CE67" s="7" t="s">
        <v>469</v>
      </c>
      <c r="CF67" s="7" t="s">
        <v>469</v>
      </c>
      <c r="CG67" s="7" t="s">
        <v>469</v>
      </c>
      <c r="CH67" s="7" t="s">
        <v>469</v>
      </c>
      <c r="CI67" s="7" t="s">
        <v>469</v>
      </c>
      <c r="CJ67" s="7" t="s">
        <v>469</v>
      </c>
      <c r="CK67" s="7" t="s">
        <v>469</v>
      </c>
      <c r="CL67" s="7" t="s">
        <v>469</v>
      </c>
      <c r="CM67" s="7" t="s">
        <v>469</v>
      </c>
      <c r="CN67" s="7" t="s">
        <v>469</v>
      </c>
      <c r="CO67" s="7" t="s">
        <v>469</v>
      </c>
      <c r="CP67" s="7" t="s">
        <v>469</v>
      </c>
      <c r="CQ67" s="7" t="s">
        <v>587</v>
      </c>
      <c r="CR67" s="7" t="s">
        <v>469</v>
      </c>
      <c r="CS67" s="7" t="s">
        <v>469</v>
      </c>
      <c r="CT67" s="7" t="s">
        <v>469</v>
      </c>
      <c r="CU67" s="7" t="s">
        <v>469</v>
      </c>
      <c r="CV67" s="7" t="s">
        <v>469</v>
      </c>
      <c r="CW67" s="7" t="s">
        <v>469</v>
      </c>
      <c r="CX67" s="7" t="s">
        <v>469</v>
      </c>
      <c r="CY67" s="7" t="s">
        <v>469</v>
      </c>
      <c r="CZ67" s="7" t="s">
        <v>469</v>
      </c>
      <c r="DA67" s="7" t="s">
        <v>469</v>
      </c>
      <c r="DB67" s="64" t="s">
        <v>469</v>
      </c>
      <c r="DC67" s="7" t="s">
        <v>469</v>
      </c>
      <c r="DD67" s="7" t="s">
        <v>469</v>
      </c>
      <c r="DE67" s="7" t="s">
        <v>469</v>
      </c>
      <c r="DF67" s="7" t="s">
        <v>469</v>
      </c>
      <c r="DG67" s="7" t="s">
        <v>469</v>
      </c>
      <c r="DH67" s="7" t="s">
        <v>469</v>
      </c>
      <c r="DI67" s="7" t="s">
        <v>469</v>
      </c>
      <c r="DJ67" s="7" t="s">
        <v>469</v>
      </c>
      <c r="DK67" s="7" t="s">
        <v>469</v>
      </c>
      <c r="DL67" s="7" t="s">
        <v>469</v>
      </c>
      <c r="DM67" s="7" t="s">
        <v>469</v>
      </c>
      <c r="DN67" s="7" t="s">
        <v>469</v>
      </c>
      <c r="DO67" s="7" t="s">
        <v>469</v>
      </c>
      <c r="DP67" s="7" t="s">
        <v>469</v>
      </c>
      <c r="DQ67" s="7" t="s">
        <v>469</v>
      </c>
      <c r="DR67" s="7" t="s">
        <v>469</v>
      </c>
      <c r="DS67" s="7" t="s">
        <v>587</v>
      </c>
      <c r="DT67" s="12" t="s">
        <v>469</v>
      </c>
      <c r="DU67" s="7" t="s">
        <v>469</v>
      </c>
      <c r="DV67" s="7" t="s">
        <v>469</v>
      </c>
      <c r="DW67" s="7" t="s">
        <v>587</v>
      </c>
      <c r="DX67" s="7" t="s">
        <v>469</v>
      </c>
      <c r="DY67" s="7" t="s">
        <v>469</v>
      </c>
      <c r="DZ67" s="7" t="s">
        <v>469</v>
      </c>
      <c r="EA67" s="7" t="s">
        <v>469</v>
      </c>
    </row>
    <row r="68" spans="1:131" x14ac:dyDescent="0.3">
      <c r="A68" s="62" t="s">
        <v>599</v>
      </c>
      <c r="B68" s="7">
        <v>0</v>
      </c>
      <c r="C68" s="7">
        <v>0</v>
      </c>
      <c r="D68" s="7">
        <v>0</v>
      </c>
      <c r="E68" s="7">
        <v>0</v>
      </c>
      <c r="F68" s="7">
        <v>0</v>
      </c>
      <c r="G68" s="7">
        <v>0</v>
      </c>
      <c r="H68" s="7">
        <v>0</v>
      </c>
      <c r="I68" s="7" t="s">
        <v>469</v>
      </c>
      <c r="J68" s="7" t="s">
        <v>469</v>
      </c>
      <c r="K68" s="7" t="s">
        <v>469</v>
      </c>
      <c r="L68" s="7" t="s">
        <v>469</v>
      </c>
      <c r="M68" s="7" t="s">
        <v>469</v>
      </c>
      <c r="N68" s="7" t="s">
        <v>469</v>
      </c>
      <c r="O68" s="7" t="s">
        <v>469</v>
      </c>
      <c r="P68" s="7" t="s">
        <v>587</v>
      </c>
      <c r="Q68" s="7" t="s">
        <v>469</v>
      </c>
      <c r="R68" s="7" t="s">
        <v>469</v>
      </c>
      <c r="S68" s="7" t="s">
        <v>469</v>
      </c>
      <c r="T68" s="7" t="s">
        <v>587</v>
      </c>
      <c r="U68" s="7" t="s">
        <v>469</v>
      </c>
      <c r="V68" s="7" t="s">
        <v>469</v>
      </c>
      <c r="W68" s="7" t="s">
        <v>587</v>
      </c>
      <c r="X68" s="7" t="s">
        <v>469</v>
      </c>
      <c r="Y68" s="7" t="s">
        <v>469</v>
      </c>
      <c r="Z68" s="7" t="s">
        <v>469</v>
      </c>
      <c r="AA68" s="7" t="s">
        <v>469</v>
      </c>
      <c r="AB68" s="7" t="s">
        <v>587</v>
      </c>
      <c r="AC68" s="7" t="s">
        <v>469</v>
      </c>
      <c r="AD68" s="7" t="s">
        <v>469</v>
      </c>
      <c r="AE68" s="7" t="s">
        <v>469</v>
      </c>
      <c r="AF68" s="7" t="s">
        <v>469</v>
      </c>
      <c r="AG68" s="7" t="s">
        <v>587</v>
      </c>
      <c r="AH68" s="7" t="s">
        <v>588</v>
      </c>
      <c r="AI68" s="7" t="s">
        <v>469</v>
      </c>
      <c r="AJ68" s="7" t="s">
        <v>587</v>
      </c>
      <c r="AK68" s="7" t="s">
        <v>469</v>
      </c>
      <c r="AL68" s="7" t="s">
        <v>469</v>
      </c>
      <c r="AM68" s="7" t="s">
        <v>469</v>
      </c>
      <c r="AN68" s="7" t="s">
        <v>587</v>
      </c>
      <c r="AO68" s="7" t="s">
        <v>469</v>
      </c>
      <c r="AP68" s="7" t="s">
        <v>587</v>
      </c>
      <c r="AQ68" s="7" t="s">
        <v>469</v>
      </c>
      <c r="AR68" s="7" t="s">
        <v>469</v>
      </c>
      <c r="AS68" s="7" t="s">
        <v>469</v>
      </c>
      <c r="AT68" s="7" t="s">
        <v>469</v>
      </c>
      <c r="AU68" s="7" t="s">
        <v>469</v>
      </c>
      <c r="AV68" s="12" t="s">
        <v>587</v>
      </c>
      <c r="AW68" s="7">
        <v>0</v>
      </c>
      <c r="AX68" s="7" t="s">
        <v>587</v>
      </c>
      <c r="AY68" s="7">
        <v>0</v>
      </c>
      <c r="AZ68" s="7">
        <v>0</v>
      </c>
      <c r="BA68" s="7">
        <v>0</v>
      </c>
      <c r="BB68" s="12">
        <v>0</v>
      </c>
      <c r="BC68" s="7" t="s">
        <v>469</v>
      </c>
      <c r="BD68" s="7" t="s">
        <v>469</v>
      </c>
      <c r="BE68" s="7" t="s">
        <v>469</v>
      </c>
      <c r="BF68" s="7" t="s">
        <v>469</v>
      </c>
      <c r="BG68" s="7" t="s">
        <v>469</v>
      </c>
      <c r="BH68" s="12" t="s">
        <v>587</v>
      </c>
      <c r="BI68" s="63" t="s">
        <v>469</v>
      </c>
      <c r="BJ68" s="64" t="s">
        <v>469</v>
      </c>
      <c r="BK68" s="7" t="s">
        <v>469</v>
      </c>
      <c r="BL68" s="7" t="s">
        <v>469</v>
      </c>
      <c r="BM68" s="7" t="s">
        <v>469</v>
      </c>
      <c r="BN68" s="7" t="s">
        <v>469</v>
      </c>
      <c r="BO68" s="7" t="s">
        <v>587</v>
      </c>
      <c r="BP68" s="7" t="s">
        <v>469</v>
      </c>
      <c r="BQ68" s="7" t="s">
        <v>469</v>
      </c>
      <c r="BR68" s="7" t="s">
        <v>469</v>
      </c>
      <c r="BS68" s="7" t="s">
        <v>469</v>
      </c>
      <c r="BT68" s="7" t="s">
        <v>469</v>
      </c>
      <c r="BU68" s="7" t="s">
        <v>469</v>
      </c>
      <c r="BV68" s="7" t="s">
        <v>469</v>
      </c>
      <c r="BW68" s="7" t="str">
        <f t="shared" si="1"/>
        <v>NO</v>
      </c>
      <c r="BX68" s="7" t="s">
        <v>469</v>
      </c>
      <c r="BY68" s="7" t="s">
        <v>469</v>
      </c>
      <c r="BZ68" s="7" t="s">
        <v>469</v>
      </c>
      <c r="CA68" s="7" t="s">
        <v>469</v>
      </c>
      <c r="CB68" s="7" t="s">
        <v>469</v>
      </c>
      <c r="CC68" s="7" t="s">
        <v>469</v>
      </c>
      <c r="CD68" s="7" t="s">
        <v>469</v>
      </c>
      <c r="CE68" s="7" t="s">
        <v>469</v>
      </c>
      <c r="CF68" s="7" t="s">
        <v>469</v>
      </c>
      <c r="CG68" s="7" t="s">
        <v>469</v>
      </c>
      <c r="CH68" s="7" t="s">
        <v>469</v>
      </c>
      <c r="CI68" s="7" t="s">
        <v>469</v>
      </c>
      <c r="CJ68" s="7" t="s">
        <v>469</v>
      </c>
      <c r="CK68" s="7" t="s">
        <v>469</v>
      </c>
      <c r="CL68" s="7" t="s">
        <v>469</v>
      </c>
      <c r="CM68" s="7" t="s">
        <v>469</v>
      </c>
      <c r="CN68" s="7" t="s">
        <v>469</v>
      </c>
      <c r="CO68" s="7" t="s">
        <v>469</v>
      </c>
      <c r="CP68" s="7" t="s">
        <v>469</v>
      </c>
      <c r="CQ68" s="7" t="s">
        <v>587</v>
      </c>
      <c r="CR68" s="7" t="s">
        <v>469</v>
      </c>
      <c r="CS68" s="7">
        <v>0</v>
      </c>
      <c r="CT68" s="7" t="s">
        <v>469</v>
      </c>
      <c r="CU68" s="7" t="s">
        <v>587</v>
      </c>
      <c r="CV68" s="7" t="s">
        <v>469</v>
      </c>
      <c r="CW68" s="7" t="s">
        <v>469</v>
      </c>
      <c r="CX68" s="7" t="s">
        <v>587</v>
      </c>
      <c r="CY68" s="7" t="s">
        <v>469</v>
      </c>
      <c r="CZ68" s="7" t="s">
        <v>587</v>
      </c>
      <c r="DA68" s="7" t="s">
        <v>587</v>
      </c>
      <c r="DB68" s="64">
        <v>0</v>
      </c>
      <c r="DC68" s="7">
        <v>0</v>
      </c>
      <c r="DD68" s="7">
        <v>0</v>
      </c>
      <c r="DE68" s="7">
        <v>0</v>
      </c>
      <c r="DF68" s="7">
        <v>0</v>
      </c>
      <c r="DG68" s="7">
        <v>0</v>
      </c>
      <c r="DH68" s="7">
        <v>0</v>
      </c>
      <c r="DI68" s="7" t="s">
        <v>469</v>
      </c>
      <c r="DJ68" s="7" t="s">
        <v>469</v>
      </c>
      <c r="DK68" s="7" t="s">
        <v>469</v>
      </c>
      <c r="DL68" s="7" t="s">
        <v>469</v>
      </c>
      <c r="DM68" s="7" t="s">
        <v>469</v>
      </c>
      <c r="DN68" s="7" t="s">
        <v>587</v>
      </c>
      <c r="DO68" s="7" t="s">
        <v>469</v>
      </c>
      <c r="DP68" s="7" t="s">
        <v>469</v>
      </c>
      <c r="DQ68" s="7">
        <v>0</v>
      </c>
      <c r="DR68" s="7">
        <v>0</v>
      </c>
      <c r="DS68" s="7" t="s">
        <v>587</v>
      </c>
      <c r="DT68" s="12">
        <v>0</v>
      </c>
      <c r="DU68" s="7" t="s">
        <v>587</v>
      </c>
      <c r="DV68" s="7" t="s">
        <v>469</v>
      </c>
      <c r="DW68" s="7" t="s">
        <v>587</v>
      </c>
      <c r="DX68" s="7" t="s">
        <v>469</v>
      </c>
      <c r="DY68" s="7" t="s">
        <v>469</v>
      </c>
      <c r="DZ68" s="7" t="s">
        <v>587</v>
      </c>
      <c r="EA68" s="7" t="s">
        <v>469</v>
      </c>
    </row>
    <row r="69" spans="1:131" x14ac:dyDescent="0.3">
      <c r="A69" s="62" t="s">
        <v>600</v>
      </c>
      <c r="B69" s="7">
        <v>0</v>
      </c>
      <c r="C69" s="7">
        <v>0</v>
      </c>
      <c r="D69" s="7">
        <v>0</v>
      </c>
      <c r="E69" s="7">
        <v>0</v>
      </c>
      <c r="F69" s="7">
        <v>0</v>
      </c>
      <c r="G69" s="7">
        <v>0</v>
      </c>
      <c r="H69" s="7">
        <v>0</v>
      </c>
      <c r="I69" s="7"/>
      <c r="J69" s="7"/>
      <c r="K69" s="7"/>
      <c r="L69" s="7"/>
      <c r="M69" s="7"/>
      <c r="N69" s="7"/>
      <c r="O69" s="7"/>
      <c r="P69" s="7" t="s">
        <v>601</v>
      </c>
      <c r="Q69" s="7"/>
      <c r="R69" s="7" t="s">
        <v>460</v>
      </c>
      <c r="S69" s="7" t="s">
        <v>460</v>
      </c>
      <c r="T69" s="7" t="s">
        <v>602</v>
      </c>
      <c r="U69" s="7" t="s">
        <v>460</v>
      </c>
      <c r="V69" s="7" t="s">
        <v>460</v>
      </c>
      <c r="W69" s="7" t="s">
        <v>602</v>
      </c>
      <c r="X69" s="7"/>
      <c r="Y69" s="7"/>
      <c r="Z69" s="7"/>
      <c r="AA69" s="7"/>
      <c r="AB69" s="7" t="s">
        <v>603</v>
      </c>
      <c r="AC69" s="7" t="s">
        <v>469</v>
      </c>
      <c r="AD69" s="7" t="s">
        <v>469</v>
      </c>
      <c r="AE69" s="7" t="s">
        <v>460</v>
      </c>
      <c r="AF69" s="7" t="s">
        <v>460</v>
      </c>
      <c r="AG69" s="7" t="s">
        <v>604</v>
      </c>
      <c r="AH69" s="7" t="s">
        <v>460</v>
      </c>
      <c r="AI69" s="7"/>
      <c r="AJ69" s="7" t="s">
        <v>605</v>
      </c>
      <c r="AK69" s="7"/>
      <c r="AL69" s="7"/>
      <c r="AM69" s="7"/>
      <c r="AN69" s="7" t="s">
        <v>606</v>
      </c>
      <c r="AO69" s="7"/>
      <c r="AP69" s="7" t="s">
        <v>607</v>
      </c>
      <c r="AQ69" s="7"/>
      <c r="AR69" s="7"/>
      <c r="AS69" s="7"/>
      <c r="AT69" s="7"/>
      <c r="AU69" s="7"/>
      <c r="AV69" s="12" t="s">
        <v>608</v>
      </c>
      <c r="AW69" s="7"/>
      <c r="AX69" s="41" t="s">
        <v>609</v>
      </c>
      <c r="AY69" s="7">
        <v>0</v>
      </c>
      <c r="AZ69" s="7">
        <v>0</v>
      </c>
      <c r="BA69" s="7">
        <v>0</v>
      </c>
      <c r="BB69" s="12">
        <v>0</v>
      </c>
      <c r="BC69" s="7" t="s">
        <v>460</v>
      </c>
      <c r="BD69" s="7" t="s">
        <v>460</v>
      </c>
      <c r="BE69" s="7" t="s">
        <v>460</v>
      </c>
      <c r="BF69" s="7" t="s">
        <v>460</v>
      </c>
      <c r="BG69" s="7" t="s">
        <v>460</v>
      </c>
      <c r="BH69" s="12" t="s">
        <v>610</v>
      </c>
      <c r="BI69" s="63" t="s">
        <v>460</v>
      </c>
      <c r="BJ69" s="64" t="s">
        <v>460</v>
      </c>
      <c r="BK69" s="7" t="s">
        <v>460</v>
      </c>
      <c r="BL69" s="7" t="s">
        <v>460</v>
      </c>
      <c r="BM69" s="7" t="s">
        <v>460</v>
      </c>
      <c r="BN69" s="7" t="s">
        <v>460</v>
      </c>
      <c r="BO69" s="7" t="s">
        <v>611</v>
      </c>
      <c r="BP69" s="7" t="s">
        <v>460</v>
      </c>
      <c r="BQ69" s="7" t="s">
        <v>460</v>
      </c>
      <c r="BR69" s="7" t="s">
        <v>460</v>
      </c>
      <c r="BS69" s="7" t="s">
        <v>460</v>
      </c>
      <c r="BT69" s="7" t="s">
        <v>460</v>
      </c>
      <c r="BU69" s="7" t="s">
        <v>460</v>
      </c>
      <c r="BV69" s="7" t="s">
        <v>460</v>
      </c>
      <c r="BW69" s="7" t="str">
        <f t="shared" si="1"/>
        <v>N/A</v>
      </c>
      <c r="BX69" s="7">
        <v>0</v>
      </c>
      <c r="BY69" s="7">
        <v>0</v>
      </c>
      <c r="BZ69" s="7">
        <v>0</v>
      </c>
      <c r="CA69" s="7">
        <v>0</v>
      </c>
      <c r="CB69" s="7">
        <v>0</v>
      </c>
      <c r="CC69" s="7">
        <v>0</v>
      </c>
      <c r="CD69" s="7">
        <v>0</v>
      </c>
      <c r="CE69" s="7">
        <v>0</v>
      </c>
      <c r="CF69" s="7">
        <v>0</v>
      </c>
      <c r="CG69" s="7">
        <v>0</v>
      </c>
      <c r="CH69" s="7">
        <v>0</v>
      </c>
      <c r="CI69" s="7">
        <v>0</v>
      </c>
      <c r="CJ69" s="7">
        <v>0</v>
      </c>
      <c r="CK69" s="7">
        <v>0</v>
      </c>
      <c r="CL69" s="7">
        <v>0</v>
      </c>
      <c r="CM69" s="7" t="s">
        <v>460</v>
      </c>
      <c r="CN69" s="7"/>
      <c r="CO69" s="7"/>
      <c r="CP69" s="7"/>
      <c r="CQ69" s="7" t="s">
        <v>612</v>
      </c>
      <c r="CR69" s="7"/>
      <c r="CS69" s="7">
        <v>0</v>
      </c>
      <c r="CT69" s="7" t="s">
        <v>460</v>
      </c>
      <c r="CU69" s="7" t="s">
        <v>613</v>
      </c>
      <c r="CV69" s="7" t="s">
        <v>469</v>
      </c>
      <c r="CW69" s="7" t="s">
        <v>469</v>
      </c>
      <c r="CX69" s="7" t="s">
        <v>614</v>
      </c>
      <c r="CY69" s="7" t="s">
        <v>469</v>
      </c>
      <c r="CZ69" s="7" t="s">
        <v>615</v>
      </c>
      <c r="DA69" s="7" t="s">
        <v>615</v>
      </c>
      <c r="DB69" s="64">
        <v>0</v>
      </c>
      <c r="DC69" s="7">
        <v>0</v>
      </c>
      <c r="DD69" s="7">
        <v>0</v>
      </c>
      <c r="DE69" s="7">
        <v>0</v>
      </c>
      <c r="DF69" s="7">
        <v>0</v>
      </c>
      <c r="DG69" s="7">
        <v>0</v>
      </c>
      <c r="DH69" s="7">
        <v>0</v>
      </c>
      <c r="DI69" s="7" t="s">
        <v>460</v>
      </c>
      <c r="DJ69" s="7" t="s">
        <v>460</v>
      </c>
      <c r="DK69" s="7"/>
      <c r="DL69" s="7"/>
      <c r="DM69" s="7"/>
      <c r="DN69" s="7" t="s">
        <v>616</v>
      </c>
      <c r="DO69" s="7"/>
      <c r="DP69" s="7">
        <v>0</v>
      </c>
      <c r="DQ69" s="7">
        <v>0</v>
      </c>
      <c r="DR69" s="7">
        <v>0</v>
      </c>
      <c r="DS69" s="7" t="s">
        <v>617</v>
      </c>
      <c r="DT69" s="12">
        <v>0</v>
      </c>
      <c r="DU69" s="7"/>
      <c r="DV69" s="7" t="s">
        <v>460</v>
      </c>
      <c r="DW69" s="7" t="s">
        <v>618</v>
      </c>
      <c r="DX69" s="7" t="s">
        <v>460</v>
      </c>
      <c r="DY69" s="7" t="s">
        <v>460</v>
      </c>
      <c r="DZ69" s="7" t="s">
        <v>619</v>
      </c>
      <c r="EA69" s="7" t="s">
        <v>460</v>
      </c>
    </row>
    <row r="70" spans="1:131" x14ac:dyDescent="0.3">
      <c r="A70" s="62" t="s">
        <v>620</v>
      </c>
      <c r="B70" s="7"/>
      <c r="C70" s="7" t="s">
        <v>621</v>
      </c>
      <c r="D70" s="7" t="s">
        <v>621</v>
      </c>
      <c r="E70" s="7"/>
      <c r="F70" s="7" t="s">
        <v>621</v>
      </c>
      <c r="G70" s="7"/>
      <c r="H70" s="7"/>
      <c r="I70" s="7" t="s">
        <v>621</v>
      </c>
      <c r="J70" s="7" t="s">
        <v>621</v>
      </c>
      <c r="K70" s="7" t="s">
        <v>621</v>
      </c>
      <c r="L70" s="7" t="s">
        <v>621</v>
      </c>
      <c r="M70" s="7" t="s">
        <v>621</v>
      </c>
      <c r="N70" s="7" t="s">
        <v>621</v>
      </c>
      <c r="O70" s="7" t="s">
        <v>621</v>
      </c>
      <c r="P70" s="7" t="s">
        <v>621</v>
      </c>
      <c r="Q70" s="7" t="s">
        <v>621</v>
      </c>
      <c r="R70" s="7" t="s">
        <v>622</v>
      </c>
      <c r="S70" s="7" t="s">
        <v>622</v>
      </c>
      <c r="T70" s="7" t="s">
        <v>622</v>
      </c>
      <c r="U70" s="7" t="s">
        <v>622</v>
      </c>
      <c r="V70" s="7" t="s">
        <v>623</v>
      </c>
      <c r="W70" s="7" t="s">
        <v>623</v>
      </c>
      <c r="X70" s="7" t="s">
        <v>623</v>
      </c>
      <c r="Y70" s="7" t="s">
        <v>623</v>
      </c>
      <c r="Z70" s="7" t="s">
        <v>623</v>
      </c>
      <c r="AA70" s="7" t="s">
        <v>623</v>
      </c>
      <c r="AB70" s="7" t="s">
        <v>623</v>
      </c>
      <c r="AC70" s="7" t="s">
        <v>623</v>
      </c>
      <c r="AD70" s="7" t="s">
        <v>623</v>
      </c>
      <c r="AE70" s="7" t="s">
        <v>622</v>
      </c>
      <c r="AF70" s="7" t="s">
        <v>623</v>
      </c>
      <c r="AG70" s="7" t="s">
        <v>622</v>
      </c>
      <c r="AH70" s="7" t="s">
        <v>623</v>
      </c>
      <c r="AI70" s="7" t="s">
        <v>621</v>
      </c>
      <c r="AJ70" s="7" t="s">
        <v>621</v>
      </c>
      <c r="AK70" s="7" t="s">
        <v>621</v>
      </c>
      <c r="AL70" s="7" t="s">
        <v>621</v>
      </c>
      <c r="AM70" s="7" t="s">
        <v>621</v>
      </c>
      <c r="AN70" s="7" t="s">
        <v>621</v>
      </c>
      <c r="AO70" s="7" t="s">
        <v>621</v>
      </c>
      <c r="AP70" s="7" t="s">
        <v>621</v>
      </c>
      <c r="AQ70" s="7" t="s">
        <v>621</v>
      </c>
      <c r="AR70" s="7" t="s">
        <v>621</v>
      </c>
      <c r="AS70" s="7" t="s">
        <v>621</v>
      </c>
      <c r="AT70" s="7" t="s">
        <v>621</v>
      </c>
      <c r="AU70" s="7" t="s">
        <v>621</v>
      </c>
      <c r="AV70" s="12" t="s">
        <v>621</v>
      </c>
      <c r="AW70" s="12" t="s">
        <v>621</v>
      </c>
      <c r="AX70" s="7" t="s">
        <v>621</v>
      </c>
      <c r="AY70" s="7" t="s">
        <v>621</v>
      </c>
      <c r="AZ70" s="7" t="s">
        <v>621</v>
      </c>
      <c r="BA70" s="7" t="s">
        <v>621</v>
      </c>
      <c r="BB70" s="12" t="s">
        <v>621</v>
      </c>
      <c r="BC70" s="7" t="s">
        <v>624</v>
      </c>
      <c r="BD70" s="7" t="s">
        <v>622</v>
      </c>
      <c r="BE70" s="7" t="s">
        <v>624</v>
      </c>
      <c r="BF70" s="7" t="s">
        <v>624</v>
      </c>
      <c r="BG70" s="7" t="s">
        <v>624</v>
      </c>
      <c r="BH70" s="12" t="s">
        <v>625</v>
      </c>
      <c r="BI70" s="63" t="s">
        <v>626</v>
      </c>
      <c r="BJ70" s="64" t="s">
        <v>626</v>
      </c>
      <c r="BK70" s="7" t="s">
        <v>623</v>
      </c>
      <c r="BL70" s="7" t="s">
        <v>623</v>
      </c>
      <c r="BM70" s="7" t="s">
        <v>623</v>
      </c>
      <c r="BN70" s="7" t="s">
        <v>623</v>
      </c>
      <c r="BO70" s="7" t="s">
        <v>624</v>
      </c>
      <c r="BP70" s="7" t="s">
        <v>623</v>
      </c>
      <c r="BQ70" s="7" t="s">
        <v>622</v>
      </c>
      <c r="BR70" s="7" t="s">
        <v>623</v>
      </c>
      <c r="BS70" s="7" t="s">
        <v>622</v>
      </c>
      <c r="BT70" s="7" t="s">
        <v>623</v>
      </c>
      <c r="BU70" s="7" t="s">
        <v>623</v>
      </c>
      <c r="BV70" s="7" t="s">
        <v>623</v>
      </c>
      <c r="BW70" s="7" t="str">
        <f t="shared" si="1"/>
        <v>OSO ANDINO</v>
      </c>
      <c r="BX70" s="7" t="s">
        <v>621</v>
      </c>
      <c r="BY70" s="7" t="s">
        <v>621</v>
      </c>
      <c r="BZ70" s="7" t="s">
        <v>621</v>
      </c>
      <c r="CA70" s="7" t="s">
        <v>621</v>
      </c>
      <c r="CB70" s="7" t="s">
        <v>621</v>
      </c>
      <c r="CC70" s="7" t="s">
        <v>621</v>
      </c>
      <c r="CD70" s="7" t="s">
        <v>621</v>
      </c>
      <c r="CE70" s="7" t="s">
        <v>621</v>
      </c>
      <c r="CF70" s="7" t="s">
        <v>621</v>
      </c>
      <c r="CG70" s="7" t="s">
        <v>621</v>
      </c>
      <c r="CH70" s="7" t="s">
        <v>621</v>
      </c>
      <c r="CI70" s="7" t="s">
        <v>621</v>
      </c>
      <c r="CJ70" s="7" t="s">
        <v>621</v>
      </c>
      <c r="CK70" s="7" t="s">
        <v>621</v>
      </c>
      <c r="CL70" s="7" t="s">
        <v>621</v>
      </c>
      <c r="CM70" s="7" t="s">
        <v>622</v>
      </c>
      <c r="CN70" s="7" t="s">
        <v>621</v>
      </c>
      <c r="CO70" s="7" t="s">
        <v>621</v>
      </c>
      <c r="CP70" s="7" t="s">
        <v>621</v>
      </c>
      <c r="CQ70" s="7" t="s">
        <v>621</v>
      </c>
      <c r="CR70" s="7" t="s">
        <v>621</v>
      </c>
      <c r="CS70" s="66" t="s">
        <v>627</v>
      </c>
      <c r="CT70" s="7" t="s">
        <v>624</v>
      </c>
      <c r="CU70" s="7" t="s">
        <v>624</v>
      </c>
      <c r="CV70" s="7" t="s">
        <v>623</v>
      </c>
      <c r="CW70" s="7" t="s">
        <v>623</v>
      </c>
      <c r="CX70" s="7" t="s">
        <v>623</v>
      </c>
      <c r="CY70" s="7" t="s">
        <v>623</v>
      </c>
      <c r="CZ70" s="7" t="s">
        <v>623</v>
      </c>
      <c r="DA70" s="7" t="s">
        <v>623</v>
      </c>
      <c r="DB70" s="64"/>
      <c r="DC70" s="7"/>
      <c r="DD70" s="7"/>
      <c r="DE70" s="7"/>
      <c r="DF70" s="7"/>
      <c r="DG70" s="7"/>
      <c r="DH70" s="7"/>
      <c r="DI70" s="7" t="s">
        <v>623</v>
      </c>
      <c r="DJ70" s="7" t="s">
        <v>624</v>
      </c>
      <c r="DK70" s="7" t="s">
        <v>621</v>
      </c>
      <c r="DL70" s="7" t="s">
        <v>621</v>
      </c>
      <c r="DM70" s="7" t="s">
        <v>621</v>
      </c>
      <c r="DN70" s="7" t="s">
        <v>621</v>
      </c>
      <c r="DO70" s="7" t="s">
        <v>621</v>
      </c>
      <c r="DP70" s="7" t="s">
        <v>621</v>
      </c>
      <c r="DQ70" s="7" t="s">
        <v>621</v>
      </c>
      <c r="DR70" s="7" t="s">
        <v>621</v>
      </c>
      <c r="DS70" s="7" t="s">
        <v>621</v>
      </c>
      <c r="DT70" s="12" t="s">
        <v>621</v>
      </c>
      <c r="DU70" s="7"/>
      <c r="DV70" s="7" t="s">
        <v>622</v>
      </c>
      <c r="DW70" s="7" t="s">
        <v>624</v>
      </c>
      <c r="DX70" s="7" t="s">
        <v>625</v>
      </c>
      <c r="DY70" s="7" t="s">
        <v>625</v>
      </c>
      <c r="DZ70" s="7"/>
      <c r="EA70" s="7"/>
    </row>
    <row r="71" spans="1:131" x14ac:dyDescent="0.3">
      <c r="A71" s="62" t="s">
        <v>628</v>
      </c>
      <c r="B71" s="7"/>
      <c r="C71" s="7"/>
      <c r="D71" s="13"/>
      <c r="E71" s="7"/>
      <c r="F71" s="7"/>
      <c r="G71" s="7"/>
      <c r="H71" s="7"/>
      <c r="I71" s="7" t="s">
        <v>587</v>
      </c>
      <c r="J71" s="7" t="s">
        <v>587</v>
      </c>
      <c r="K71" s="7" t="s">
        <v>587</v>
      </c>
      <c r="L71" s="7" t="s">
        <v>587</v>
      </c>
      <c r="M71" s="7" t="s">
        <v>587</v>
      </c>
      <c r="N71" s="7" t="s">
        <v>587</v>
      </c>
      <c r="O71" s="7" t="s">
        <v>587</v>
      </c>
      <c r="P71" s="7" t="s">
        <v>587</v>
      </c>
      <c r="Q71" s="7" t="s">
        <v>587</v>
      </c>
      <c r="R71" s="7" t="s">
        <v>587</v>
      </c>
      <c r="S71" s="7" t="s">
        <v>587</v>
      </c>
      <c r="T71" s="7" t="s">
        <v>587</v>
      </c>
      <c r="U71" s="7" t="s">
        <v>587</v>
      </c>
      <c r="V71" s="7" t="s">
        <v>587</v>
      </c>
      <c r="W71" s="7" t="s">
        <v>587</v>
      </c>
      <c r="X71" s="7" t="s">
        <v>587</v>
      </c>
      <c r="Y71" s="7" t="s">
        <v>587</v>
      </c>
      <c r="Z71" s="7" t="s">
        <v>587</v>
      </c>
      <c r="AA71" s="7" t="s">
        <v>587</v>
      </c>
      <c r="AB71" s="7" t="s">
        <v>587</v>
      </c>
      <c r="AC71" s="7" t="s">
        <v>587</v>
      </c>
      <c r="AD71" s="7" t="s">
        <v>587</v>
      </c>
      <c r="AE71" s="7" t="s">
        <v>587</v>
      </c>
      <c r="AF71" s="7" t="s">
        <v>587</v>
      </c>
      <c r="AG71" s="7" t="s">
        <v>587</v>
      </c>
      <c r="AH71" s="7" t="s">
        <v>587</v>
      </c>
      <c r="AI71" s="7" t="s">
        <v>587</v>
      </c>
      <c r="AJ71" s="7" t="s">
        <v>587</v>
      </c>
      <c r="AK71" s="7" t="s">
        <v>587</v>
      </c>
      <c r="AL71" s="7" t="s">
        <v>587</v>
      </c>
      <c r="AM71" s="7" t="s">
        <v>587</v>
      </c>
      <c r="AN71" s="7" t="s">
        <v>587</v>
      </c>
      <c r="AO71" s="7" t="s">
        <v>587</v>
      </c>
      <c r="AP71" s="7" t="s">
        <v>587</v>
      </c>
      <c r="AQ71" s="7" t="s">
        <v>587</v>
      </c>
      <c r="AR71" s="7" t="s">
        <v>587</v>
      </c>
      <c r="AS71" s="7" t="s">
        <v>587</v>
      </c>
      <c r="AT71" s="7" t="s">
        <v>587</v>
      </c>
      <c r="AU71" s="7" t="s">
        <v>587</v>
      </c>
      <c r="AV71" s="7" t="s">
        <v>587</v>
      </c>
      <c r="AW71" s="7" t="s">
        <v>587</v>
      </c>
      <c r="AX71" s="7" t="s">
        <v>587</v>
      </c>
      <c r="AY71" s="7" t="s">
        <v>587</v>
      </c>
      <c r="AZ71" s="7" t="s">
        <v>587</v>
      </c>
      <c r="BA71" s="7" t="s">
        <v>587</v>
      </c>
      <c r="BB71" s="41" t="s">
        <v>587</v>
      </c>
      <c r="BC71" s="7" t="s">
        <v>587</v>
      </c>
      <c r="BD71" s="7" t="s">
        <v>587</v>
      </c>
      <c r="BE71" s="7" t="s">
        <v>587</v>
      </c>
      <c r="BF71" s="7" t="s">
        <v>587</v>
      </c>
      <c r="BG71" s="7" t="s">
        <v>587</v>
      </c>
      <c r="BH71" s="12" t="s">
        <v>587</v>
      </c>
      <c r="BI71" s="63" t="s">
        <v>587</v>
      </c>
      <c r="BJ71" s="64" t="s">
        <v>587</v>
      </c>
      <c r="BK71" s="7" t="s">
        <v>587</v>
      </c>
      <c r="BL71" s="7" t="s">
        <v>587</v>
      </c>
      <c r="BM71" s="7" t="s">
        <v>587</v>
      </c>
      <c r="BN71" s="7" t="s">
        <v>587</v>
      </c>
      <c r="BO71" s="7" t="s">
        <v>587</v>
      </c>
      <c r="BP71" s="7" t="s">
        <v>587</v>
      </c>
      <c r="BQ71" s="7" t="s">
        <v>587</v>
      </c>
      <c r="BR71" s="7" t="s">
        <v>587</v>
      </c>
      <c r="BS71" s="7" t="s">
        <v>587</v>
      </c>
      <c r="BT71" s="7" t="s">
        <v>587</v>
      </c>
      <c r="BU71" s="7" t="s">
        <v>587</v>
      </c>
      <c r="BV71" s="7" t="s">
        <v>587</v>
      </c>
      <c r="BW71" s="7" t="str">
        <f t="shared" si="1"/>
        <v>SI</v>
      </c>
      <c r="BX71" s="7" t="s">
        <v>587</v>
      </c>
      <c r="BY71" s="7" t="s">
        <v>587</v>
      </c>
      <c r="BZ71" s="7" t="s">
        <v>587</v>
      </c>
      <c r="CA71" s="7" t="s">
        <v>587</v>
      </c>
      <c r="CB71" s="7" t="s">
        <v>587</v>
      </c>
      <c r="CC71" s="7" t="s">
        <v>587</v>
      </c>
      <c r="CD71" s="7" t="s">
        <v>587</v>
      </c>
      <c r="CE71" s="7" t="s">
        <v>587</v>
      </c>
      <c r="CF71" s="7" t="s">
        <v>587</v>
      </c>
      <c r="CG71" s="7" t="s">
        <v>587</v>
      </c>
      <c r="CH71" s="7" t="s">
        <v>587</v>
      </c>
      <c r="CI71" s="7" t="s">
        <v>587</v>
      </c>
      <c r="CJ71" s="7" t="s">
        <v>587</v>
      </c>
      <c r="CK71" s="7" t="s">
        <v>587</v>
      </c>
      <c r="CL71" s="7" t="s">
        <v>587</v>
      </c>
      <c r="CM71" s="7" t="s">
        <v>587</v>
      </c>
      <c r="CN71" s="7" t="s">
        <v>587</v>
      </c>
      <c r="CO71" s="7" t="s">
        <v>587</v>
      </c>
      <c r="CP71" s="7" t="s">
        <v>587</v>
      </c>
      <c r="CQ71" s="7" t="s">
        <v>587</v>
      </c>
      <c r="CR71" s="7" t="s">
        <v>587</v>
      </c>
      <c r="CS71" s="7" t="s">
        <v>587</v>
      </c>
      <c r="CT71" s="7" t="s">
        <v>587</v>
      </c>
      <c r="CU71" s="7" t="s">
        <v>587</v>
      </c>
      <c r="CV71" s="7" t="s">
        <v>587</v>
      </c>
      <c r="CW71" s="7" t="s">
        <v>587</v>
      </c>
      <c r="CX71" s="7" t="s">
        <v>587</v>
      </c>
      <c r="CY71" s="7" t="s">
        <v>587</v>
      </c>
      <c r="CZ71" s="7" t="s">
        <v>587</v>
      </c>
      <c r="DA71" s="7" t="s">
        <v>587</v>
      </c>
      <c r="DB71" s="64"/>
      <c r="DC71" s="7"/>
      <c r="DD71" s="7"/>
      <c r="DE71" s="7"/>
      <c r="DF71" s="7"/>
      <c r="DG71" s="7"/>
      <c r="DH71" s="7"/>
      <c r="DI71" s="7" t="s">
        <v>587</v>
      </c>
      <c r="DJ71" s="7" t="s">
        <v>587</v>
      </c>
      <c r="DK71" s="7" t="s">
        <v>587</v>
      </c>
      <c r="DL71" s="7" t="s">
        <v>587</v>
      </c>
      <c r="DM71" s="7" t="s">
        <v>587</v>
      </c>
      <c r="DN71" s="7" t="s">
        <v>587</v>
      </c>
      <c r="DO71" s="7" t="s">
        <v>587</v>
      </c>
      <c r="DP71" s="7"/>
      <c r="DQ71" s="7"/>
      <c r="DR71" s="7"/>
      <c r="DS71" s="7"/>
      <c r="DT71" s="12"/>
      <c r="DU71" s="7"/>
      <c r="DV71" s="7" t="s">
        <v>587</v>
      </c>
      <c r="DW71" s="7" t="s">
        <v>587</v>
      </c>
      <c r="DX71" s="7" t="s">
        <v>587</v>
      </c>
      <c r="DY71" s="7" t="s">
        <v>587</v>
      </c>
      <c r="DZ71" s="7"/>
      <c r="EA71" s="7"/>
    </row>
    <row r="72" spans="1:131" x14ac:dyDescent="0.3">
      <c r="A72" s="67" t="s">
        <v>629</v>
      </c>
      <c r="B72" s="7"/>
      <c r="C72" s="7"/>
      <c r="D72" s="7"/>
      <c r="E72" s="7"/>
      <c r="F72" s="7"/>
      <c r="G72" s="7"/>
      <c r="H72" s="7"/>
      <c r="I72" s="7"/>
      <c r="J72" s="7"/>
      <c r="K72" s="7"/>
      <c r="L72" s="7"/>
      <c r="M72" s="7"/>
      <c r="N72" s="7"/>
      <c r="O72" s="7"/>
      <c r="P72" s="7"/>
      <c r="Q72" s="7"/>
      <c r="R72" s="7"/>
      <c r="S72" s="7"/>
      <c r="T72" s="7"/>
      <c r="U72" s="7"/>
      <c r="V72" s="7"/>
      <c r="W72" s="7"/>
      <c r="X72" s="7"/>
      <c r="Y72" s="7"/>
      <c r="Z72" s="7"/>
      <c r="AA72" s="68"/>
      <c r="AB72" s="69"/>
      <c r="AC72" s="69"/>
      <c r="AD72" s="69"/>
      <c r="AE72" s="69"/>
      <c r="AF72" s="69"/>
      <c r="AG72" s="69"/>
      <c r="AH72" s="69"/>
      <c r="AI72" s="7"/>
      <c r="AJ72" s="7"/>
      <c r="AK72" s="7"/>
      <c r="AL72" s="7"/>
      <c r="AM72" s="7"/>
      <c r="AN72" s="7"/>
      <c r="AO72" s="7"/>
      <c r="AP72" s="7"/>
      <c r="AQ72" s="7"/>
      <c r="AR72" s="7"/>
      <c r="AS72" s="7"/>
      <c r="AT72" s="7"/>
      <c r="AU72" s="7"/>
      <c r="AV72" s="7"/>
      <c r="AW72" s="7"/>
      <c r="AX72" s="7"/>
      <c r="AY72" s="7"/>
      <c r="AZ72" s="7"/>
      <c r="BA72" s="12"/>
      <c r="BB72" s="7"/>
      <c r="BC72" s="7"/>
      <c r="BD72" s="7"/>
      <c r="BE72" s="7"/>
      <c r="BF72" s="7"/>
      <c r="BG72" s="7"/>
      <c r="BH72" s="7"/>
      <c r="BI72" s="43"/>
      <c r="BJ72" s="7"/>
      <c r="BK72" s="7"/>
      <c r="BL72" s="7"/>
      <c r="BM72" s="7"/>
      <c r="BN72" s="7"/>
      <c r="BO72" s="7"/>
      <c r="BP72" s="145"/>
      <c r="BQ72" s="50"/>
      <c r="BR72" s="50"/>
      <c r="BS72" s="50"/>
      <c r="BT72" s="50"/>
      <c r="BU72" s="50"/>
      <c r="BV72" s="50"/>
      <c r="BW72" s="50"/>
      <c r="BX72" s="50"/>
      <c r="BY72" s="50"/>
      <c r="BZ72" s="50"/>
      <c r="CA72" s="50"/>
      <c r="CB72" s="50"/>
      <c r="CC72" s="50"/>
      <c r="CD72" s="50"/>
      <c r="CE72" s="50"/>
      <c r="CF72" s="50"/>
      <c r="CG72" s="50"/>
      <c r="CH72" s="50"/>
      <c r="CI72" s="50"/>
      <c r="CJ72" s="50"/>
      <c r="CK72" s="50"/>
      <c r="CL72" s="50"/>
      <c r="CM72" s="50"/>
      <c r="CN72" s="50"/>
      <c r="CO72" s="50"/>
      <c r="CP72" s="50"/>
      <c r="CQ72" s="50"/>
      <c r="CR72" s="50"/>
      <c r="CS72" s="50"/>
      <c r="CT72" s="50"/>
      <c r="CU72" s="144"/>
      <c r="CV72" s="14"/>
      <c r="CW72" s="14"/>
      <c r="CX72" s="14"/>
      <c r="CY72" s="14"/>
      <c r="CZ72" s="14"/>
      <c r="DA72" s="14"/>
      <c r="DB72" s="68"/>
      <c r="DC72" s="68"/>
      <c r="DD72" s="68"/>
      <c r="DE72" s="68"/>
      <c r="DF72" s="68"/>
      <c r="DG72" s="68"/>
      <c r="DH72" s="68"/>
      <c r="DI72" s="68"/>
      <c r="DJ72" s="68"/>
      <c r="DK72" s="68"/>
      <c r="DL72" s="68"/>
      <c r="DM72" s="68"/>
      <c r="DN72" s="68"/>
      <c r="DO72" s="68"/>
      <c r="DP72" s="7"/>
      <c r="DQ72" s="41"/>
      <c r="DR72" s="41"/>
      <c r="DS72" s="41"/>
      <c r="DT72" s="70"/>
      <c r="DU72" s="70"/>
      <c r="DV72" s="70"/>
      <c r="DW72" s="70"/>
      <c r="DX72" s="70"/>
      <c r="DY72" s="70"/>
      <c r="DZ72" s="70"/>
      <c r="EA72" s="70"/>
    </row>
    <row r="73" spans="1:131" ht="28.8" x14ac:dyDescent="0.3">
      <c r="A73" s="6" t="s">
        <v>630</v>
      </c>
      <c r="B73" s="71">
        <v>8</v>
      </c>
      <c r="C73" s="7">
        <v>8</v>
      </c>
      <c r="D73" s="71">
        <v>8</v>
      </c>
      <c r="E73" s="7">
        <v>18</v>
      </c>
      <c r="F73" s="7">
        <v>18</v>
      </c>
      <c r="G73" s="13">
        <v>8</v>
      </c>
      <c r="H73" s="13">
        <v>8</v>
      </c>
      <c r="I73" s="71">
        <v>6</v>
      </c>
      <c r="J73" s="71">
        <v>9</v>
      </c>
      <c r="K73" s="71">
        <v>9</v>
      </c>
      <c r="L73" s="71">
        <v>8</v>
      </c>
      <c r="M73" s="71">
        <v>1</v>
      </c>
      <c r="N73" s="71">
        <v>9</v>
      </c>
      <c r="O73" s="71">
        <v>9</v>
      </c>
      <c r="P73" s="71">
        <v>9</v>
      </c>
      <c r="Q73" s="71">
        <v>1</v>
      </c>
      <c r="R73" s="71">
        <v>6</v>
      </c>
      <c r="S73" s="71">
        <v>1</v>
      </c>
      <c r="T73" s="71">
        <v>1</v>
      </c>
      <c r="U73" s="71">
        <v>1</v>
      </c>
      <c r="V73" s="10">
        <v>1</v>
      </c>
      <c r="W73" s="71">
        <v>1</v>
      </c>
      <c r="X73" s="26" t="s">
        <v>631</v>
      </c>
      <c r="Y73" s="26" t="s">
        <v>632</v>
      </c>
      <c r="Z73" s="26" t="s">
        <v>633</v>
      </c>
      <c r="AA73" s="26" t="s">
        <v>633</v>
      </c>
      <c r="AB73" s="26" t="s">
        <v>634</v>
      </c>
      <c r="AC73" s="26" t="s">
        <v>635</v>
      </c>
      <c r="AD73" s="26" t="s">
        <v>636</v>
      </c>
      <c r="AE73" s="71">
        <v>14</v>
      </c>
      <c r="AF73" s="71">
        <v>8</v>
      </c>
      <c r="AG73" s="71">
        <v>1</v>
      </c>
      <c r="AH73" s="26">
        <v>18</v>
      </c>
      <c r="AI73" s="71">
        <v>8</v>
      </c>
      <c r="AJ73" s="71">
        <v>8</v>
      </c>
      <c r="AK73" s="71">
        <v>8</v>
      </c>
      <c r="AL73" s="71">
        <v>12</v>
      </c>
      <c r="AM73" s="71">
        <v>8</v>
      </c>
      <c r="AN73" s="71">
        <v>9</v>
      </c>
      <c r="AO73" s="71">
        <v>9</v>
      </c>
      <c r="AP73" s="71">
        <v>9</v>
      </c>
      <c r="AQ73" s="71">
        <v>9</v>
      </c>
      <c r="AR73" s="71">
        <v>6</v>
      </c>
      <c r="AS73" s="71">
        <v>14</v>
      </c>
      <c r="AT73" s="71">
        <v>14</v>
      </c>
      <c r="AU73" s="71">
        <v>9</v>
      </c>
      <c r="AV73" s="72">
        <v>8</v>
      </c>
      <c r="AW73" s="71">
        <v>8</v>
      </c>
      <c r="AX73" s="71">
        <v>14</v>
      </c>
      <c r="AY73" s="71">
        <v>8</v>
      </c>
      <c r="AZ73" s="71">
        <v>8</v>
      </c>
      <c r="BA73" s="12">
        <v>8</v>
      </c>
      <c r="BB73" s="71">
        <v>8</v>
      </c>
      <c r="BC73" s="71">
        <v>1</v>
      </c>
      <c r="BD73" s="71">
        <v>1</v>
      </c>
      <c r="BE73" s="71">
        <v>1</v>
      </c>
      <c r="BF73" s="71">
        <v>6</v>
      </c>
      <c r="BG73" s="71">
        <v>1</v>
      </c>
      <c r="BH73" s="12">
        <v>1</v>
      </c>
      <c r="BI73" s="63">
        <v>1</v>
      </c>
      <c r="BJ73" s="64">
        <v>6</v>
      </c>
      <c r="BK73" s="71">
        <v>1</v>
      </c>
      <c r="BL73" s="71">
        <v>1</v>
      </c>
      <c r="BM73" s="71">
        <v>1</v>
      </c>
      <c r="BN73" s="71">
        <v>18</v>
      </c>
      <c r="BO73" s="71">
        <v>1</v>
      </c>
      <c r="BP73" s="71">
        <v>12</v>
      </c>
      <c r="BQ73" s="71">
        <v>6</v>
      </c>
      <c r="BR73" s="71" t="s">
        <v>637</v>
      </c>
      <c r="BS73" s="71">
        <v>6</v>
      </c>
      <c r="BT73" s="71">
        <v>1</v>
      </c>
      <c r="BU73" s="71">
        <v>1</v>
      </c>
      <c r="BV73" s="71">
        <v>2</v>
      </c>
      <c r="BW73" s="71">
        <v>1</v>
      </c>
      <c r="BX73" s="26">
        <v>10</v>
      </c>
      <c r="BY73" s="26">
        <v>4</v>
      </c>
      <c r="BZ73" s="73">
        <v>14</v>
      </c>
      <c r="CA73" s="26">
        <v>29</v>
      </c>
      <c r="CB73" s="26">
        <v>1</v>
      </c>
      <c r="CC73" s="26">
        <v>6</v>
      </c>
      <c r="CD73" s="26">
        <v>21</v>
      </c>
      <c r="CE73" s="26">
        <v>14</v>
      </c>
      <c r="CF73" s="73">
        <v>14</v>
      </c>
      <c r="CG73" s="71">
        <v>14</v>
      </c>
      <c r="CH73" s="26">
        <v>6</v>
      </c>
      <c r="CI73" s="26">
        <v>14</v>
      </c>
      <c r="CJ73" s="26">
        <v>1</v>
      </c>
      <c r="CK73" s="26">
        <v>1</v>
      </c>
      <c r="CL73" s="74">
        <v>14</v>
      </c>
      <c r="CM73" s="26">
        <v>1</v>
      </c>
      <c r="CN73" s="26">
        <v>9</v>
      </c>
      <c r="CO73" s="26">
        <v>8</v>
      </c>
      <c r="CP73" s="26">
        <v>8</v>
      </c>
      <c r="CQ73" s="26">
        <v>8</v>
      </c>
      <c r="CR73" s="26">
        <v>1</v>
      </c>
      <c r="CS73" s="74">
        <v>9</v>
      </c>
      <c r="CT73" s="75"/>
      <c r="CU73" s="75"/>
      <c r="CV73" s="26" t="s">
        <v>636</v>
      </c>
      <c r="CW73" s="26" t="s">
        <v>636</v>
      </c>
      <c r="CX73" s="26" t="s">
        <v>638</v>
      </c>
      <c r="CY73" s="26" t="s">
        <v>639</v>
      </c>
      <c r="CZ73" s="26" t="s">
        <v>640</v>
      </c>
      <c r="DA73" s="26" t="s">
        <v>640</v>
      </c>
      <c r="DB73" s="76">
        <v>9</v>
      </c>
      <c r="DC73" s="26">
        <v>8</v>
      </c>
      <c r="DD73" s="26">
        <v>9</v>
      </c>
      <c r="DE73" s="26">
        <v>29</v>
      </c>
      <c r="DF73" s="26">
        <v>14</v>
      </c>
      <c r="DG73" s="26">
        <v>8</v>
      </c>
      <c r="DH73" s="26">
        <v>9</v>
      </c>
      <c r="DI73" s="26">
        <v>9</v>
      </c>
      <c r="DJ73" s="26">
        <v>1</v>
      </c>
      <c r="DK73" s="26">
        <v>8</v>
      </c>
      <c r="DL73" s="26">
        <v>8</v>
      </c>
      <c r="DM73" s="26">
        <v>5</v>
      </c>
      <c r="DN73" s="26">
        <v>8</v>
      </c>
      <c r="DO73" s="26">
        <v>9</v>
      </c>
      <c r="DP73" s="74">
        <v>8</v>
      </c>
      <c r="DQ73" s="26">
        <v>8</v>
      </c>
      <c r="DR73" s="26">
        <v>8</v>
      </c>
      <c r="DS73" s="26">
        <v>8</v>
      </c>
      <c r="DT73" s="26">
        <v>14</v>
      </c>
      <c r="DU73" s="26">
        <v>1</v>
      </c>
      <c r="DV73" s="26">
        <v>1</v>
      </c>
      <c r="DW73" s="26">
        <v>2</v>
      </c>
      <c r="DX73" s="26">
        <v>1</v>
      </c>
      <c r="DY73" s="26">
        <v>1</v>
      </c>
      <c r="DZ73" s="73">
        <v>1</v>
      </c>
      <c r="EA73" s="73"/>
    </row>
    <row r="74" spans="1:131" ht="86.4" x14ac:dyDescent="0.3">
      <c r="A74" s="6" t="s">
        <v>641</v>
      </c>
      <c r="B74" s="71" t="s">
        <v>642</v>
      </c>
      <c r="C74" s="71" t="s">
        <v>642</v>
      </c>
      <c r="D74" s="71" t="s">
        <v>642</v>
      </c>
      <c r="E74" s="13" t="s">
        <v>643</v>
      </c>
      <c r="F74" s="13" t="s">
        <v>643</v>
      </c>
      <c r="G74" s="13" t="s">
        <v>642</v>
      </c>
      <c r="H74" s="13" t="s">
        <v>642</v>
      </c>
      <c r="I74" s="71" t="s">
        <v>644</v>
      </c>
      <c r="J74" s="71" t="s">
        <v>645</v>
      </c>
      <c r="K74" s="71" t="s">
        <v>645</v>
      </c>
      <c r="L74" s="71" t="s">
        <v>646</v>
      </c>
      <c r="M74" s="71" t="s">
        <v>647</v>
      </c>
      <c r="N74" s="71" t="s">
        <v>645</v>
      </c>
      <c r="O74" s="71" t="s">
        <v>645</v>
      </c>
      <c r="P74" s="71" t="s">
        <v>645</v>
      </c>
      <c r="Q74" s="71" t="s">
        <v>647</v>
      </c>
      <c r="R74" s="55" t="s">
        <v>648</v>
      </c>
      <c r="S74" s="55" t="s">
        <v>649</v>
      </c>
      <c r="T74" s="26" t="s">
        <v>650</v>
      </c>
      <c r="U74" s="55" t="s">
        <v>651</v>
      </c>
      <c r="V74" s="10" t="s">
        <v>652</v>
      </c>
      <c r="W74" s="55" t="s">
        <v>653</v>
      </c>
      <c r="X74" s="26" t="s">
        <v>654</v>
      </c>
      <c r="Y74" s="26" t="s">
        <v>655</v>
      </c>
      <c r="Z74" s="26" t="s">
        <v>656</v>
      </c>
      <c r="AA74" s="26" t="s">
        <v>657</v>
      </c>
      <c r="AB74" s="26" t="s">
        <v>658</v>
      </c>
      <c r="AC74" s="26" t="s">
        <v>659</v>
      </c>
      <c r="AD74" s="26" t="s">
        <v>660</v>
      </c>
      <c r="AE74" s="10" t="s">
        <v>661</v>
      </c>
      <c r="AF74" s="10" t="s">
        <v>662</v>
      </c>
      <c r="AG74" s="10" t="s">
        <v>663</v>
      </c>
      <c r="AH74" s="26" t="s">
        <v>664</v>
      </c>
      <c r="AI74" s="71" t="s">
        <v>665</v>
      </c>
      <c r="AJ74" s="71" t="s">
        <v>646</v>
      </c>
      <c r="AK74" s="71" t="s">
        <v>646</v>
      </c>
      <c r="AL74" s="71" t="s">
        <v>666</v>
      </c>
      <c r="AM74" s="71" t="s">
        <v>646</v>
      </c>
      <c r="AN74" s="71" t="s">
        <v>645</v>
      </c>
      <c r="AO74" s="71" t="s">
        <v>645</v>
      </c>
      <c r="AP74" s="71" t="s">
        <v>645</v>
      </c>
      <c r="AQ74" s="71" t="s">
        <v>645</v>
      </c>
      <c r="AR74" s="71" t="s">
        <v>667</v>
      </c>
      <c r="AS74" s="71" t="s">
        <v>668</v>
      </c>
      <c r="AT74" s="71" t="s">
        <v>668</v>
      </c>
      <c r="AU74" s="71" t="s">
        <v>645</v>
      </c>
      <c r="AV74" s="72" t="s">
        <v>642</v>
      </c>
      <c r="AW74" s="71" t="s">
        <v>642</v>
      </c>
      <c r="AX74" s="71" t="s">
        <v>669</v>
      </c>
      <c r="AY74" s="71" t="s">
        <v>642</v>
      </c>
      <c r="AZ74" s="71" t="s">
        <v>642</v>
      </c>
      <c r="BA74" s="12" t="s">
        <v>642</v>
      </c>
      <c r="BB74" s="71" t="s">
        <v>642</v>
      </c>
      <c r="BC74" s="55" t="s">
        <v>670</v>
      </c>
      <c r="BD74" s="55" t="s">
        <v>670</v>
      </c>
      <c r="BE74" s="55" t="s">
        <v>671</v>
      </c>
      <c r="BF74" s="55" t="s">
        <v>672</v>
      </c>
      <c r="BG74" s="55" t="s">
        <v>671</v>
      </c>
      <c r="BH74" s="77" t="s">
        <v>671</v>
      </c>
      <c r="BI74" s="78" t="s">
        <v>671</v>
      </c>
      <c r="BJ74" s="79" t="s">
        <v>673</v>
      </c>
      <c r="BK74" s="10" t="s">
        <v>674</v>
      </c>
      <c r="BL74" s="10" t="s">
        <v>675</v>
      </c>
      <c r="BM74" s="10" t="s">
        <v>676</v>
      </c>
      <c r="BN74" s="10" t="s">
        <v>677</v>
      </c>
      <c r="BO74" s="10" t="s">
        <v>676</v>
      </c>
      <c r="BP74" s="55" t="s">
        <v>678</v>
      </c>
      <c r="BQ74" s="55" t="s">
        <v>679</v>
      </c>
      <c r="BR74" s="55" t="s">
        <v>680</v>
      </c>
      <c r="BS74" s="55" t="s">
        <v>681</v>
      </c>
      <c r="BT74" s="55" t="s">
        <v>674</v>
      </c>
      <c r="BU74" s="55" t="s">
        <v>674</v>
      </c>
      <c r="BV74" s="55" t="s">
        <v>682</v>
      </c>
      <c r="BW74" s="55" t="s">
        <v>683</v>
      </c>
      <c r="BX74" s="26" t="s">
        <v>684</v>
      </c>
      <c r="BY74" s="26" t="s">
        <v>685</v>
      </c>
      <c r="BZ74" s="73" t="s">
        <v>686</v>
      </c>
      <c r="CA74" s="26" t="s">
        <v>687</v>
      </c>
      <c r="CB74" s="26" t="s">
        <v>647</v>
      </c>
      <c r="CC74" s="26" t="s">
        <v>688</v>
      </c>
      <c r="CD74" s="26" t="s">
        <v>689</v>
      </c>
      <c r="CE74" s="26" t="s">
        <v>686</v>
      </c>
      <c r="CF74" s="73" t="s">
        <v>686</v>
      </c>
      <c r="CG74" s="73" t="s">
        <v>686</v>
      </c>
      <c r="CH74" s="26" t="s">
        <v>690</v>
      </c>
      <c r="CI74" s="26" t="s">
        <v>686</v>
      </c>
      <c r="CJ74" s="26" t="s">
        <v>691</v>
      </c>
      <c r="CK74" s="26" t="s">
        <v>692</v>
      </c>
      <c r="CL74" s="74" t="s">
        <v>669</v>
      </c>
      <c r="CM74" s="26" t="s">
        <v>693</v>
      </c>
      <c r="CN74" s="26" t="s">
        <v>645</v>
      </c>
      <c r="CO74" s="26" t="s">
        <v>646</v>
      </c>
      <c r="CP74" s="26" t="s">
        <v>646</v>
      </c>
      <c r="CQ74" s="26" t="s">
        <v>646</v>
      </c>
      <c r="CR74" s="26" t="s">
        <v>647</v>
      </c>
      <c r="CS74" s="74" t="s">
        <v>694</v>
      </c>
      <c r="CT74" s="75"/>
      <c r="CU74" s="75"/>
      <c r="CV74" s="26" t="s">
        <v>660</v>
      </c>
      <c r="CW74" s="26" t="s">
        <v>695</v>
      </c>
      <c r="CX74" s="26" t="s">
        <v>696</v>
      </c>
      <c r="CY74" s="26" t="s">
        <v>697</v>
      </c>
      <c r="CZ74" s="26" t="s">
        <v>698</v>
      </c>
      <c r="DA74" s="26" t="s">
        <v>699</v>
      </c>
      <c r="DB74" s="76" t="s">
        <v>694</v>
      </c>
      <c r="DC74" s="26" t="s">
        <v>642</v>
      </c>
      <c r="DD74" s="26" t="s">
        <v>694</v>
      </c>
      <c r="DE74" s="26" t="s">
        <v>700</v>
      </c>
      <c r="DF74" s="26" t="s">
        <v>669</v>
      </c>
      <c r="DG74" s="26" t="s">
        <v>642</v>
      </c>
      <c r="DH74" s="26" t="s">
        <v>694</v>
      </c>
      <c r="DI74" s="26"/>
      <c r="DJ74" s="26" t="s">
        <v>701</v>
      </c>
      <c r="DK74" s="26" t="s">
        <v>646</v>
      </c>
      <c r="DL74" s="26" t="s">
        <v>646</v>
      </c>
      <c r="DM74" s="26" t="s">
        <v>702</v>
      </c>
      <c r="DN74" s="26" t="s">
        <v>646</v>
      </c>
      <c r="DO74" s="26" t="s">
        <v>645</v>
      </c>
      <c r="DP74" s="74" t="s">
        <v>642</v>
      </c>
      <c r="DQ74" s="26" t="s">
        <v>642</v>
      </c>
      <c r="DR74" s="26" t="s">
        <v>642</v>
      </c>
      <c r="DS74" s="26" t="s">
        <v>642</v>
      </c>
      <c r="DT74" s="26" t="s">
        <v>669</v>
      </c>
      <c r="DU74" s="26" t="s">
        <v>703</v>
      </c>
      <c r="DV74" s="26" t="s">
        <v>671</v>
      </c>
      <c r="DW74" s="26" t="s">
        <v>704</v>
      </c>
      <c r="DX74" s="26" t="s">
        <v>671</v>
      </c>
      <c r="DY74" s="26" t="s">
        <v>671</v>
      </c>
      <c r="DZ74" s="26" t="s">
        <v>683</v>
      </c>
      <c r="EA74" s="26"/>
    </row>
    <row r="75" spans="1:131" ht="158.4" x14ac:dyDescent="0.3">
      <c r="A75" s="6" t="s">
        <v>705</v>
      </c>
      <c r="B75" s="71" t="s">
        <v>706</v>
      </c>
      <c r="C75" s="71" t="s">
        <v>706</v>
      </c>
      <c r="D75" s="71" t="s">
        <v>706</v>
      </c>
      <c r="E75" s="13" t="s">
        <v>707</v>
      </c>
      <c r="F75" s="13" t="s">
        <v>707</v>
      </c>
      <c r="G75" s="13" t="s">
        <v>706</v>
      </c>
      <c r="H75" s="13" t="s">
        <v>706</v>
      </c>
      <c r="I75" s="71" t="s">
        <v>708</v>
      </c>
      <c r="J75" s="71" t="s">
        <v>709</v>
      </c>
      <c r="K75" s="71" t="s">
        <v>709</v>
      </c>
      <c r="L75" s="71" t="s">
        <v>710</v>
      </c>
      <c r="M75" s="71" t="s">
        <v>711</v>
      </c>
      <c r="N75" s="71" t="s">
        <v>709</v>
      </c>
      <c r="O75" s="71" t="s">
        <v>709</v>
      </c>
      <c r="P75" s="71" t="s">
        <v>709</v>
      </c>
      <c r="Q75" s="71" t="s">
        <v>711</v>
      </c>
      <c r="R75" s="55" t="s">
        <v>712</v>
      </c>
      <c r="S75" s="55" t="s">
        <v>713</v>
      </c>
      <c r="T75" s="26" t="s">
        <v>714</v>
      </c>
      <c r="U75" s="55" t="s">
        <v>715</v>
      </c>
      <c r="V75" s="10" t="s">
        <v>711</v>
      </c>
      <c r="W75" s="55" t="s">
        <v>716</v>
      </c>
      <c r="X75" s="26" t="s">
        <v>717</v>
      </c>
      <c r="Y75" s="26" t="s">
        <v>718</v>
      </c>
      <c r="Z75" s="26" t="s">
        <v>719</v>
      </c>
      <c r="AA75" s="26" t="s">
        <v>720</v>
      </c>
      <c r="AB75" s="26" t="s">
        <v>721</v>
      </c>
      <c r="AC75" s="26" t="s">
        <v>722</v>
      </c>
      <c r="AD75" s="26" t="s">
        <v>723</v>
      </c>
      <c r="AE75" s="10" t="s">
        <v>724</v>
      </c>
      <c r="AF75" s="10" t="s">
        <v>725</v>
      </c>
      <c r="AG75" s="10" t="s">
        <v>726</v>
      </c>
      <c r="AH75" s="26" t="s">
        <v>727</v>
      </c>
      <c r="AI75" s="71" t="s">
        <v>710</v>
      </c>
      <c r="AJ75" s="71" t="s">
        <v>710</v>
      </c>
      <c r="AK75" s="71" t="s">
        <v>710</v>
      </c>
      <c r="AL75" s="71" t="s">
        <v>728</v>
      </c>
      <c r="AM75" s="71" t="s">
        <v>710</v>
      </c>
      <c r="AN75" s="71" t="s">
        <v>709</v>
      </c>
      <c r="AO75" s="71" t="s">
        <v>709</v>
      </c>
      <c r="AP75" s="71" t="s">
        <v>709</v>
      </c>
      <c r="AQ75" s="71" t="s">
        <v>709</v>
      </c>
      <c r="AR75" s="71" t="s">
        <v>729</v>
      </c>
      <c r="AS75" s="71" t="s">
        <v>730</v>
      </c>
      <c r="AT75" s="71" t="s">
        <v>730</v>
      </c>
      <c r="AU75" s="71" t="s">
        <v>709</v>
      </c>
      <c r="AV75" s="72" t="s">
        <v>706</v>
      </c>
      <c r="AW75" s="71" t="s">
        <v>706</v>
      </c>
      <c r="AX75" s="71" t="s">
        <v>731</v>
      </c>
      <c r="AY75" s="71" t="s">
        <v>706</v>
      </c>
      <c r="AZ75" s="71" t="s">
        <v>706</v>
      </c>
      <c r="BA75" s="12" t="s">
        <v>706</v>
      </c>
      <c r="BB75" s="71" t="s">
        <v>706</v>
      </c>
      <c r="BC75" s="55" t="s">
        <v>732</v>
      </c>
      <c r="BD75" s="55" t="s">
        <v>732</v>
      </c>
      <c r="BE75" s="55" t="s">
        <v>733</v>
      </c>
      <c r="BF75" s="55" t="s">
        <v>734</v>
      </c>
      <c r="BG75" s="55" t="s">
        <v>735</v>
      </c>
      <c r="BH75" s="77" t="s">
        <v>735</v>
      </c>
      <c r="BI75" s="78" t="s">
        <v>733</v>
      </c>
      <c r="BJ75" s="79" t="s">
        <v>736</v>
      </c>
      <c r="BK75" s="10" t="s">
        <v>737</v>
      </c>
      <c r="BL75" s="10" t="s">
        <v>738</v>
      </c>
      <c r="BM75" s="10" t="s">
        <v>739</v>
      </c>
      <c r="BN75" s="10" t="s">
        <v>740</v>
      </c>
      <c r="BO75" s="10" t="s">
        <v>739</v>
      </c>
      <c r="BP75" s="55" t="s">
        <v>741</v>
      </c>
      <c r="BQ75" s="55" t="s">
        <v>742</v>
      </c>
      <c r="BR75" s="55" t="s">
        <v>743</v>
      </c>
      <c r="BS75" s="55" t="s">
        <v>744</v>
      </c>
      <c r="BT75" s="55" t="s">
        <v>745</v>
      </c>
      <c r="BU75" s="55" t="s">
        <v>745</v>
      </c>
      <c r="BV75" s="55" t="s">
        <v>746</v>
      </c>
      <c r="BW75" s="55" t="s">
        <v>747</v>
      </c>
      <c r="BX75" s="26" t="s">
        <v>748</v>
      </c>
      <c r="BY75" s="26" t="s">
        <v>749</v>
      </c>
      <c r="BZ75" s="73" t="s">
        <v>750</v>
      </c>
      <c r="CA75" s="26" t="s">
        <v>730</v>
      </c>
      <c r="CB75" s="26" t="s">
        <v>711</v>
      </c>
      <c r="CC75" s="26" t="s">
        <v>751</v>
      </c>
      <c r="CD75" s="26" t="s">
        <v>752</v>
      </c>
      <c r="CE75" s="26" t="s">
        <v>753</v>
      </c>
      <c r="CF75" s="73" t="s">
        <v>753</v>
      </c>
      <c r="CG75" s="73" t="s">
        <v>754</v>
      </c>
      <c r="CH75" s="26" t="s">
        <v>755</v>
      </c>
      <c r="CI75" s="26" t="s">
        <v>756</v>
      </c>
      <c r="CJ75" s="26" t="s">
        <v>757</v>
      </c>
      <c r="CK75" s="26" t="s">
        <v>757</v>
      </c>
      <c r="CL75" s="74" t="s">
        <v>731</v>
      </c>
      <c r="CM75" s="26" t="s">
        <v>758</v>
      </c>
      <c r="CN75" s="26" t="s">
        <v>709</v>
      </c>
      <c r="CO75" s="26" t="s">
        <v>710</v>
      </c>
      <c r="CP75" s="26" t="s">
        <v>710</v>
      </c>
      <c r="CQ75" s="26" t="s">
        <v>710</v>
      </c>
      <c r="CR75" s="26" t="s">
        <v>711</v>
      </c>
      <c r="CS75" s="74" t="s">
        <v>759</v>
      </c>
      <c r="CT75" s="75"/>
      <c r="CU75" s="75"/>
      <c r="CV75" s="26" t="s">
        <v>760</v>
      </c>
      <c r="CW75" s="26" t="s">
        <v>761</v>
      </c>
      <c r="CX75" s="26" t="s">
        <v>762</v>
      </c>
      <c r="CY75" s="26" t="s">
        <v>763</v>
      </c>
      <c r="CZ75" s="26" t="s">
        <v>764</v>
      </c>
      <c r="DA75" s="26" t="s">
        <v>765</v>
      </c>
      <c r="DB75" s="76" t="s">
        <v>759</v>
      </c>
      <c r="DC75" s="26" t="s">
        <v>706</v>
      </c>
      <c r="DD75" s="26" t="s">
        <v>759</v>
      </c>
      <c r="DE75" s="26" t="s">
        <v>766</v>
      </c>
      <c r="DF75" s="26" t="s">
        <v>731</v>
      </c>
      <c r="DG75" s="26" t="s">
        <v>706</v>
      </c>
      <c r="DH75" s="26" t="s">
        <v>759</v>
      </c>
      <c r="DI75" s="26"/>
      <c r="DJ75" s="26" t="s">
        <v>767</v>
      </c>
      <c r="DK75" s="26" t="s">
        <v>710</v>
      </c>
      <c r="DL75" s="26" t="s">
        <v>710</v>
      </c>
      <c r="DM75" s="26" t="s">
        <v>768</v>
      </c>
      <c r="DN75" s="26" t="s">
        <v>710</v>
      </c>
      <c r="DO75" s="26" t="s">
        <v>709</v>
      </c>
      <c r="DP75" s="74" t="s">
        <v>706</v>
      </c>
      <c r="DQ75" s="26" t="s">
        <v>706</v>
      </c>
      <c r="DR75" s="26" t="s">
        <v>706</v>
      </c>
      <c r="DS75" s="26" t="s">
        <v>706</v>
      </c>
      <c r="DT75" s="26" t="s">
        <v>731</v>
      </c>
      <c r="DU75" s="26" t="s">
        <v>769</v>
      </c>
      <c r="DV75" s="26" t="s">
        <v>770</v>
      </c>
      <c r="DW75" s="26" t="s">
        <v>743</v>
      </c>
      <c r="DX75" s="26" t="s">
        <v>771</v>
      </c>
      <c r="DY75" s="26" t="s">
        <v>735</v>
      </c>
      <c r="DZ75" s="26" t="s">
        <v>747</v>
      </c>
      <c r="EA75" s="26"/>
    </row>
    <row r="76" spans="1:131" ht="43.2" x14ac:dyDescent="0.3">
      <c r="A76" s="6" t="s">
        <v>772</v>
      </c>
      <c r="B76" s="71" t="s">
        <v>773</v>
      </c>
      <c r="C76" s="71" t="s">
        <v>773</v>
      </c>
      <c r="D76" s="71" t="s">
        <v>773</v>
      </c>
      <c r="E76" s="13" t="s">
        <v>774</v>
      </c>
      <c r="F76" s="13" t="s">
        <v>774</v>
      </c>
      <c r="G76" s="13" t="s">
        <v>773</v>
      </c>
      <c r="H76" s="13" t="s">
        <v>773</v>
      </c>
      <c r="I76" s="71" t="s">
        <v>775</v>
      </c>
      <c r="J76" s="71" t="s">
        <v>776</v>
      </c>
      <c r="K76" s="71" t="s">
        <v>776</v>
      </c>
      <c r="L76" s="71" t="s">
        <v>776</v>
      </c>
      <c r="M76" s="71" t="s">
        <v>777</v>
      </c>
      <c r="N76" s="71" t="s">
        <v>776</v>
      </c>
      <c r="O76" s="71" t="s">
        <v>776</v>
      </c>
      <c r="P76" s="71" t="s">
        <v>776</v>
      </c>
      <c r="Q76" s="71" t="s">
        <v>777</v>
      </c>
      <c r="R76" s="55" t="s">
        <v>778</v>
      </c>
      <c r="S76" s="55" t="s">
        <v>779</v>
      </c>
      <c r="T76" s="26" t="s">
        <v>780</v>
      </c>
      <c r="U76" s="55" t="s">
        <v>781</v>
      </c>
      <c r="V76" s="10" t="s">
        <v>777</v>
      </c>
      <c r="W76" s="55" t="s">
        <v>782</v>
      </c>
      <c r="X76" s="26" t="s">
        <v>783</v>
      </c>
      <c r="Y76" s="26" t="s">
        <v>783</v>
      </c>
      <c r="Z76" s="26" t="s">
        <v>783</v>
      </c>
      <c r="AA76" s="26" t="s">
        <v>783</v>
      </c>
      <c r="AB76" s="26" t="s">
        <v>783</v>
      </c>
      <c r="AC76" s="26" t="s">
        <v>784</v>
      </c>
      <c r="AD76" s="26" t="s">
        <v>783</v>
      </c>
      <c r="AE76" s="10" t="s">
        <v>778</v>
      </c>
      <c r="AF76" s="71" t="s">
        <v>778</v>
      </c>
      <c r="AG76" s="71" t="s">
        <v>785</v>
      </c>
      <c r="AH76" s="26" t="s">
        <v>786</v>
      </c>
      <c r="AI76" s="71" t="s">
        <v>784</v>
      </c>
      <c r="AJ76" s="71" t="s">
        <v>776</v>
      </c>
      <c r="AK76" s="71" t="s">
        <v>776</v>
      </c>
      <c r="AL76" s="71" t="s">
        <v>787</v>
      </c>
      <c r="AM76" s="71" t="s">
        <v>776</v>
      </c>
      <c r="AN76" s="71" t="s">
        <v>776</v>
      </c>
      <c r="AO76" s="71" t="s">
        <v>776</v>
      </c>
      <c r="AP76" s="71" t="s">
        <v>776</v>
      </c>
      <c r="AQ76" s="71" t="s">
        <v>776</v>
      </c>
      <c r="AR76" s="71" t="s">
        <v>788</v>
      </c>
      <c r="AS76" s="71" t="s">
        <v>787</v>
      </c>
      <c r="AT76" s="71" t="s">
        <v>787</v>
      </c>
      <c r="AU76" s="71" t="s">
        <v>776</v>
      </c>
      <c r="AV76" s="72" t="s">
        <v>773</v>
      </c>
      <c r="AW76" s="71" t="s">
        <v>773</v>
      </c>
      <c r="AX76" s="71" t="s">
        <v>789</v>
      </c>
      <c r="AY76" s="71" t="s">
        <v>773</v>
      </c>
      <c r="AZ76" s="71" t="s">
        <v>773</v>
      </c>
      <c r="BA76" s="12" t="s">
        <v>773</v>
      </c>
      <c r="BB76" s="71" t="s">
        <v>773</v>
      </c>
      <c r="BC76" s="55" t="s">
        <v>780</v>
      </c>
      <c r="BD76" s="55" t="s">
        <v>790</v>
      </c>
      <c r="BE76" s="55" t="s">
        <v>780</v>
      </c>
      <c r="BF76" s="55" t="s">
        <v>778</v>
      </c>
      <c r="BG76" s="55" t="s">
        <v>791</v>
      </c>
      <c r="BH76" s="77" t="s">
        <v>791</v>
      </c>
      <c r="BI76" s="78" t="s">
        <v>790</v>
      </c>
      <c r="BJ76" s="79" t="s">
        <v>778</v>
      </c>
      <c r="BK76" s="10" t="s">
        <v>792</v>
      </c>
      <c r="BL76" s="10" t="s">
        <v>778</v>
      </c>
      <c r="BM76" s="10" t="s">
        <v>778</v>
      </c>
      <c r="BN76" s="10" t="s">
        <v>780</v>
      </c>
      <c r="BO76" s="10" t="s">
        <v>784</v>
      </c>
      <c r="BP76" s="55" t="s">
        <v>778</v>
      </c>
      <c r="BQ76" s="55" t="s">
        <v>778</v>
      </c>
      <c r="BR76" s="55" t="s">
        <v>793</v>
      </c>
      <c r="BS76" s="55" t="s">
        <v>778</v>
      </c>
      <c r="BT76" s="55" t="s">
        <v>778</v>
      </c>
      <c r="BU76" s="55" t="s">
        <v>794</v>
      </c>
      <c r="BV76" s="55" t="s">
        <v>780</v>
      </c>
      <c r="BW76" s="55" t="s">
        <v>780</v>
      </c>
      <c r="BX76" s="26" t="s">
        <v>777</v>
      </c>
      <c r="BY76" s="26" t="s">
        <v>777</v>
      </c>
      <c r="BZ76" s="73" t="s">
        <v>789</v>
      </c>
      <c r="CA76" s="26" t="s">
        <v>795</v>
      </c>
      <c r="CB76" s="26" t="s">
        <v>777</v>
      </c>
      <c r="CC76" s="26" t="s">
        <v>796</v>
      </c>
      <c r="CD76" s="26" t="s">
        <v>784</v>
      </c>
      <c r="CE76" s="26" t="s">
        <v>789</v>
      </c>
      <c r="CF76" s="73" t="s">
        <v>789</v>
      </c>
      <c r="CG76" s="73" t="s">
        <v>789</v>
      </c>
      <c r="CH76" s="26" t="s">
        <v>797</v>
      </c>
      <c r="CI76" s="26" t="s">
        <v>789</v>
      </c>
      <c r="CJ76" s="26" t="s">
        <v>798</v>
      </c>
      <c r="CK76" s="26" t="s">
        <v>798</v>
      </c>
      <c r="CL76" s="74" t="s">
        <v>789</v>
      </c>
      <c r="CM76" s="26" t="s">
        <v>799</v>
      </c>
      <c r="CN76" s="26" t="s">
        <v>776</v>
      </c>
      <c r="CO76" s="26" t="s">
        <v>776</v>
      </c>
      <c r="CP76" s="26" t="s">
        <v>776</v>
      </c>
      <c r="CQ76" s="26" t="s">
        <v>776</v>
      </c>
      <c r="CR76" s="26" t="s">
        <v>777</v>
      </c>
      <c r="CS76" s="74" t="s">
        <v>798</v>
      </c>
      <c r="CT76" s="75"/>
      <c r="CU76" s="75"/>
      <c r="CV76" s="26" t="s">
        <v>784</v>
      </c>
      <c r="CW76" s="26" t="s">
        <v>800</v>
      </c>
      <c r="CX76" s="26" t="s">
        <v>801</v>
      </c>
      <c r="CY76" s="26" t="s">
        <v>784</v>
      </c>
      <c r="CZ76" s="26" t="s">
        <v>783</v>
      </c>
      <c r="DA76" s="26" t="s">
        <v>783</v>
      </c>
      <c r="DB76" s="76" t="s">
        <v>798</v>
      </c>
      <c r="DC76" s="26" t="s">
        <v>773</v>
      </c>
      <c r="DD76" s="26" t="s">
        <v>798</v>
      </c>
      <c r="DE76" s="26" t="s">
        <v>773</v>
      </c>
      <c r="DF76" s="26" t="s">
        <v>789</v>
      </c>
      <c r="DG76" s="26" t="s">
        <v>773</v>
      </c>
      <c r="DH76" s="26" t="s">
        <v>798</v>
      </c>
      <c r="DI76" s="26"/>
      <c r="DJ76" s="26" t="s">
        <v>802</v>
      </c>
      <c r="DK76" s="26" t="s">
        <v>776</v>
      </c>
      <c r="DL76" s="26" t="s">
        <v>776</v>
      </c>
      <c r="DM76" s="26" t="s">
        <v>776</v>
      </c>
      <c r="DN76" s="26" t="s">
        <v>776</v>
      </c>
      <c r="DO76" s="26" t="s">
        <v>776</v>
      </c>
      <c r="DP76" s="74" t="s">
        <v>773</v>
      </c>
      <c r="DQ76" s="26" t="s">
        <v>773</v>
      </c>
      <c r="DR76" s="26" t="s">
        <v>773</v>
      </c>
      <c r="DS76" s="26" t="s">
        <v>773</v>
      </c>
      <c r="DT76" s="26" t="s">
        <v>789</v>
      </c>
      <c r="DU76" s="26" t="s">
        <v>791</v>
      </c>
      <c r="DV76" s="26" t="s">
        <v>780</v>
      </c>
      <c r="DW76" s="26" t="s">
        <v>803</v>
      </c>
      <c r="DX76" s="26" t="s">
        <v>791</v>
      </c>
      <c r="DY76" s="26" t="s">
        <v>791</v>
      </c>
      <c r="DZ76" s="26" t="s">
        <v>780</v>
      </c>
      <c r="EA76" s="26"/>
    </row>
    <row r="77" spans="1:131" ht="129.6" x14ac:dyDescent="0.3">
      <c r="A77" s="6" t="s">
        <v>804</v>
      </c>
      <c r="B77" s="71" t="s">
        <v>805</v>
      </c>
      <c r="C77" s="71" t="s">
        <v>805</v>
      </c>
      <c r="D77" s="71" t="s">
        <v>805</v>
      </c>
      <c r="E77" s="13" t="s">
        <v>806</v>
      </c>
      <c r="F77" s="13" t="s">
        <v>806</v>
      </c>
      <c r="G77" s="13" t="s">
        <v>805</v>
      </c>
      <c r="H77" s="13" t="s">
        <v>805</v>
      </c>
      <c r="I77" s="71" t="s">
        <v>807</v>
      </c>
      <c r="J77" s="71" t="s">
        <v>808</v>
      </c>
      <c r="K77" s="71" t="s">
        <v>808</v>
      </c>
      <c r="L77" s="71" t="s">
        <v>809</v>
      </c>
      <c r="M77" s="71" t="s">
        <v>810</v>
      </c>
      <c r="N77" s="71" t="s">
        <v>808</v>
      </c>
      <c r="O77" s="71" t="s">
        <v>808</v>
      </c>
      <c r="P77" s="71" t="s">
        <v>808</v>
      </c>
      <c r="Q77" s="71" t="s">
        <v>810</v>
      </c>
      <c r="R77" s="55" t="s">
        <v>811</v>
      </c>
      <c r="S77" s="55" t="s">
        <v>812</v>
      </c>
      <c r="T77" s="26" t="s">
        <v>813</v>
      </c>
      <c r="U77" s="55" t="s">
        <v>814</v>
      </c>
      <c r="V77" s="10" t="s">
        <v>810</v>
      </c>
      <c r="W77" s="55" t="s">
        <v>815</v>
      </c>
      <c r="X77" s="26" t="s">
        <v>816</v>
      </c>
      <c r="Y77" s="26" t="s">
        <v>817</v>
      </c>
      <c r="Z77" s="26" t="s">
        <v>818</v>
      </c>
      <c r="AA77" s="26" t="s">
        <v>819</v>
      </c>
      <c r="AB77" s="26" t="s">
        <v>820</v>
      </c>
      <c r="AC77" s="26" t="s">
        <v>821</v>
      </c>
      <c r="AD77" s="26" t="s">
        <v>822</v>
      </c>
      <c r="AE77" s="10" t="s">
        <v>823</v>
      </c>
      <c r="AF77" s="10" t="s">
        <v>824</v>
      </c>
      <c r="AG77" s="10" t="s">
        <v>825</v>
      </c>
      <c r="AH77" s="26" t="s">
        <v>826</v>
      </c>
      <c r="AI77" s="71" t="s">
        <v>827</v>
      </c>
      <c r="AJ77" s="71" t="s">
        <v>828</v>
      </c>
      <c r="AK77" s="71" t="s">
        <v>828</v>
      </c>
      <c r="AL77" s="71" t="s">
        <v>829</v>
      </c>
      <c r="AM77" s="71" t="s">
        <v>809</v>
      </c>
      <c r="AN77" s="71" t="s">
        <v>808</v>
      </c>
      <c r="AO77" s="71" t="s">
        <v>808</v>
      </c>
      <c r="AP77" s="71" t="s">
        <v>808</v>
      </c>
      <c r="AQ77" s="71" t="s">
        <v>808</v>
      </c>
      <c r="AR77" s="71" t="s">
        <v>830</v>
      </c>
      <c r="AS77" s="71" t="s">
        <v>831</v>
      </c>
      <c r="AT77" s="71" t="s">
        <v>831</v>
      </c>
      <c r="AU77" s="71" t="s">
        <v>808</v>
      </c>
      <c r="AV77" s="72" t="s">
        <v>805</v>
      </c>
      <c r="AW77" s="71" t="s">
        <v>805</v>
      </c>
      <c r="AX77" s="71" t="s">
        <v>832</v>
      </c>
      <c r="AY77" s="71" t="s">
        <v>805</v>
      </c>
      <c r="AZ77" s="71" t="s">
        <v>805</v>
      </c>
      <c r="BA77" s="12" t="s">
        <v>805</v>
      </c>
      <c r="BB77" s="71" t="s">
        <v>805</v>
      </c>
      <c r="BC77" s="55" t="s">
        <v>833</v>
      </c>
      <c r="BD77" s="55" t="s">
        <v>833</v>
      </c>
      <c r="BE77" s="55" t="s">
        <v>834</v>
      </c>
      <c r="BF77" s="55" t="s">
        <v>835</v>
      </c>
      <c r="BG77" s="55" t="s">
        <v>834</v>
      </c>
      <c r="BH77" s="77" t="s">
        <v>834</v>
      </c>
      <c r="BI77" s="78" t="s">
        <v>834</v>
      </c>
      <c r="BJ77" s="79" t="s">
        <v>836</v>
      </c>
      <c r="BK77" s="10" t="s">
        <v>837</v>
      </c>
      <c r="BL77" s="10" t="s">
        <v>838</v>
      </c>
      <c r="BM77" s="10" t="e">
        <f>#REF!</f>
        <v>#REF!</v>
      </c>
      <c r="BN77" s="10" t="s">
        <v>839</v>
      </c>
      <c r="BO77" s="10" t="s">
        <v>840</v>
      </c>
      <c r="BP77" s="55" t="s">
        <v>841</v>
      </c>
      <c r="BQ77" s="55" t="s">
        <v>842</v>
      </c>
      <c r="BR77" s="55" t="s">
        <v>843</v>
      </c>
      <c r="BS77" s="55" t="s">
        <v>844</v>
      </c>
      <c r="BT77" s="55" t="s">
        <v>845</v>
      </c>
      <c r="BU77" s="55" t="s">
        <v>845</v>
      </c>
      <c r="BV77" s="55" t="s">
        <v>846</v>
      </c>
      <c r="BW77" s="55" t="s">
        <v>840</v>
      </c>
      <c r="BX77" s="26" t="s">
        <v>847</v>
      </c>
      <c r="BY77" s="26" t="s">
        <v>848</v>
      </c>
      <c r="BZ77" s="73" t="s">
        <v>849</v>
      </c>
      <c r="CA77" s="26" t="s">
        <v>850</v>
      </c>
      <c r="CB77" s="26" t="s">
        <v>810</v>
      </c>
      <c r="CC77" s="26" t="s">
        <v>851</v>
      </c>
      <c r="CD77" s="26" t="s">
        <v>852</v>
      </c>
      <c r="CE77" s="26" t="s">
        <v>832</v>
      </c>
      <c r="CF77" s="73" t="s">
        <v>832</v>
      </c>
      <c r="CG77" s="26" t="s">
        <v>853</v>
      </c>
      <c r="CH77" s="26" t="s">
        <v>854</v>
      </c>
      <c r="CI77" s="26" t="s">
        <v>832</v>
      </c>
      <c r="CJ77" s="26" t="s">
        <v>855</v>
      </c>
      <c r="CK77" s="26" t="s">
        <v>855</v>
      </c>
      <c r="CL77" s="74" t="s">
        <v>832</v>
      </c>
      <c r="CM77" s="26" t="s">
        <v>856</v>
      </c>
      <c r="CN77" s="26" t="s">
        <v>808</v>
      </c>
      <c r="CO77" s="26" t="s">
        <v>809</v>
      </c>
      <c r="CP77" s="26" t="s">
        <v>809</v>
      </c>
      <c r="CQ77" s="26" t="s">
        <v>809</v>
      </c>
      <c r="CR77" s="26" t="s">
        <v>810</v>
      </c>
      <c r="CS77" s="74" t="s">
        <v>857</v>
      </c>
      <c r="CT77" s="75"/>
      <c r="CU77" s="75"/>
      <c r="CV77" s="26" t="s">
        <v>858</v>
      </c>
      <c r="CW77" s="26" t="s">
        <v>822</v>
      </c>
      <c r="CX77" s="26" t="s">
        <v>859</v>
      </c>
      <c r="CY77" s="26" t="s">
        <v>860</v>
      </c>
      <c r="CZ77" s="26" t="s">
        <v>861</v>
      </c>
      <c r="DA77" s="26" t="s">
        <v>861</v>
      </c>
      <c r="DB77" s="76" t="s">
        <v>857</v>
      </c>
      <c r="DC77" s="26" t="s">
        <v>805</v>
      </c>
      <c r="DD77" s="26" t="s">
        <v>857</v>
      </c>
      <c r="DE77" s="26" t="s">
        <v>862</v>
      </c>
      <c r="DF77" s="26" t="s">
        <v>832</v>
      </c>
      <c r="DG77" s="26" t="s">
        <v>805</v>
      </c>
      <c r="DH77" s="26" t="s">
        <v>857</v>
      </c>
      <c r="DI77" s="26"/>
      <c r="DJ77" s="26" t="s">
        <v>863</v>
      </c>
      <c r="DK77" s="26" t="s">
        <v>809</v>
      </c>
      <c r="DL77" s="26" t="s">
        <v>809</v>
      </c>
      <c r="DM77" s="26" t="s">
        <v>864</v>
      </c>
      <c r="DN77" s="26" t="s">
        <v>809</v>
      </c>
      <c r="DO77" s="26" t="s">
        <v>808</v>
      </c>
      <c r="DP77" s="74" t="s">
        <v>865</v>
      </c>
      <c r="DQ77" s="26" t="s">
        <v>805</v>
      </c>
      <c r="DR77" s="26" t="s">
        <v>805</v>
      </c>
      <c r="DS77" s="26" t="s">
        <v>805</v>
      </c>
      <c r="DT77" s="26" t="s">
        <v>832</v>
      </c>
      <c r="DU77" s="26" t="s">
        <v>866</v>
      </c>
      <c r="DV77" s="26" t="s">
        <v>815</v>
      </c>
      <c r="DW77" s="26" t="s">
        <v>867</v>
      </c>
      <c r="DX77" s="26" t="s">
        <v>868</v>
      </c>
      <c r="DY77" s="26" t="s">
        <v>834</v>
      </c>
      <c r="DZ77" s="26" t="s">
        <v>840</v>
      </c>
      <c r="EA77" s="26"/>
    </row>
    <row r="78" spans="1:131" ht="28.8" x14ac:dyDescent="0.3">
      <c r="A78" s="6" t="s">
        <v>869</v>
      </c>
      <c r="B78" s="7">
        <v>9</v>
      </c>
      <c r="C78" s="7">
        <v>14</v>
      </c>
      <c r="D78" s="7">
        <v>9</v>
      </c>
      <c r="E78" s="71">
        <v>29</v>
      </c>
      <c r="F78" s="71">
        <v>29</v>
      </c>
      <c r="G78" s="71">
        <v>9</v>
      </c>
      <c r="H78" s="71">
        <v>18</v>
      </c>
      <c r="I78" s="13">
        <v>8</v>
      </c>
      <c r="J78" s="13">
        <v>21</v>
      </c>
      <c r="K78" s="13">
        <v>21</v>
      </c>
      <c r="L78" s="13">
        <v>9</v>
      </c>
      <c r="M78" s="13">
        <v>7</v>
      </c>
      <c r="N78" s="13">
        <v>23</v>
      </c>
      <c r="O78" s="13">
        <v>7</v>
      </c>
      <c r="P78" s="13">
        <v>8</v>
      </c>
      <c r="Q78" s="13">
        <v>8</v>
      </c>
      <c r="R78" s="55"/>
      <c r="S78" s="55">
        <v>6</v>
      </c>
      <c r="T78" s="26">
        <v>6</v>
      </c>
      <c r="U78" s="55">
        <v>6</v>
      </c>
      <c r="V78" s="10">
        <v>2</v>
      </c>
      <c r="W78" s="55">
        <v>6</v>
      </c>
      <c r="X78" s="26" t="s">
        <v>870</v>
      </c>
      <c r="Y78" s="26" t="s">
        <v>870</v>
      </c>
      <c r="Z78" s="26" t="s">
        <v>635</v>
      </c>
      <c r="AA78" s="26" t="s">
        <v>636</v>
      </c>
      <c r="AB78" s="26" t="s">
        <v>871</v>
      </c>
      <c r="AC78" s="26" t="s">
        <v>872</v>
      </c>
      <c r="AD78" s="26" t="s">
        <v>632</v>
      </c>
      <c r="AE78" s="10">
        <v>29</v>
      </c>
      <c r="AF78" s="7">
        <v>9</v>
      </c>
      <c r="AG78" s="7">
        <v>8</v>
      </c>
      <c r="AH78" s="26">
        <v>19</v>
      </c>
      <c r="AI78" s="13">
        <v>9</v>
      </c>
      <c r="AJ78" s="13">
        <v>9</v>
      </c>
      <c r="AK78" s="13">
        <v>9</v>
      </c>
      <c r="AL78" s="13">
        <v>14</v>
      </c>
      <c r="AM78" s="13">
        <v>9</v>
      </c>
      <c r="AN78" s="13">
        <v>14</v>
      </c>
      <c r="AO78" s="13">
        <v>21</v>
      </c>
      <c r="AP78" s="13">
        <v>8</v>
      </c>
      <c r="AQ78" s="13">
        <v>25</v>
      </c>
      <c r="AR78" s="13">
        <v>22</v>
      </c>
      <c r="AS78" s="13">
        <v>21</v>
      </c>
      <c r="AT78" s="13">
        <v>29</v>
      </c>
      <c r="AU78" s="13">
        <v>21</v>
      </c>
      <c r="AV78" s="72">
        <v>14</v>
      </c>
      <c r="AW78" s="7">
        <v>13</v>
      </c>
      <c r="AX78" s="7">
        <v>29</v>
      </c>
      <c r="AY78" s="7">
        <v>14</v>
      </c>
      <c r="AZ78" s="7">
        <v>14</v>
      </c>
      <c r="BA78" s="12">
        <v>14</v>
      </c>
      <c r="BB78" s="7">
        <v>13</v>
      </c>
      <c r="BC78" s="55"/>
      <c r="BD78" s="55"/>
      <c r="BE78" s="55"/>
      <c r="BF78" s="55"/>
      <c r="BG78" s="55"/>
      <c r="BH78" s="77"/>
      <c r="BI78" s="78"/>
      <c r="BJ78" s="79"/>
      <c r="BK78" s="10">
        <v>8</v>
      </c>
      <c r="BL78" s="10">
        <v>8</v>
      </c>
      <c r="BM78" s="10">
        <v>8</v>
      </c>
      <c r="BN78" s="10">
        <v>21</v>
      </c>
      <c r="BO78" s="10">
        <v>8</v>
      </c>
      <c r="BP78" s="55"/>
      <c r="BQ78" s="55"/>
      <c r="BR78" s="55">
        <v>6</v>
      </c>
      <c r="BS78" s="55"/>
      <c r="BT78" s="55"/>
      <c r="BU78" s="55">
        <v>7</v>
      </c>
      <c r="BV78" s="55"/>
      <c r="BW78" s="55"/>
      <c r="BX78" s="26">
        <v>8</v>
      </c>
      <c r="BY78" s="26">
        <v>2</v>
      </c>
      <c r="BZ78" s="73">
        <v>2</v>
      </c>
      <c r="CA78" s="26">
        <v>6</v>
      </c>
      <c r="CB78" s="26">
        <v>14</v>
      </c>
      <c r="CC78" s="26">
        <v>22</v>
      </c>
      <c r="CD78" s="26">
        <v>22</v>
      </c>
      <c r="CE78" s="26">
        <v>27</v>
      </c>
      <c r="CF78" s="73">
        <v>21</v>
      </c>
      <c r="CG78" s="73">
        <v>29</v>
      </c>
      <c r="CH78" s="26">
        <v>14</v>
      </c>
      <c r="CI78" s="26">
        <v>17</v>
      </c>
      <c r="CJ78" s="26">
        <v>9</v>
      </c>
      <c r="CK78" s="26">
        <v>14</v>
      </c>
      <c r="CL78" s="74">
        <v>27</v>
      </c>
      <c r="CM78" s="26">
        <v>8</v>
      </c>
      <c r="CN78" s="26">
        <v>29</v>
      </c>
      <c r="CO78" s="26">
        <v>9</v>
      </c>
      <c r="CP78" s="26">
        <v>9</v>
      </c>
      <c r="CQ78" s="26">
        <v>21</v>
      </c>
      <c r="CR78" s="26">
        <v>8</v>
      </c>
      <c r="CS78" s="74">
        <v>14</v>
      </c>
      <c r="CT78" s="75"/>
      <c r="CU78" s="75"/>
      <c r="CV78" s="26" t="s">
        <v>634</v>
      </c>
      <c r="CW78" s="26" t="s">
        <v>634</v>
      </c>
      <c r="CX78" s="26" t="s">
        <v>873</v>
      </c>
      <c r="CY78" s="26" t="s">
        <v>635</v>
      </c>
      <c r="CZ78" s="26" t="s">
        <v>634</v>
      </c>
      <c r="DA78" s="26" t="s">
        <v>634</v>
      </c>
      <c r="DB78" s="76">
        <v>18</v>
      </c>
      <c r="DC78" s="26">
        <v>9</v>
      </c>
      <c r="DD78" s="26">
        <v>17</v>
      </c>
      <c r="DE78" s="26"/>
      <c r="DF78" s="26">
        <v>18</v>
      </c>
      <c r="DG78" s="26">
        <v>9</v>
      </c>
      <c r="DH78" s="26">
        <v>14</v>
      </c>
      <c r="DI78" s="26">
        <v>21</v>
      </c>
      <c r="DJ78" s="26">
        <v>8</v>
      </c>
      <c r="DK78" s="26"/>
      <c r="DL78" s="26">
        <v>10</v>
      </c>
      <c r="DM78" s="26">
        <v>14.29</v>
      </c>
      <c r="DN78" s="26">
        <v>9</v>
      </c>
      <c r="DO78" s="26">
        <v>14.29</v>
      </c>
      <c r="DP78" s="74">
        <v>14</v>
      </c>
      <c r="DQ78" s="26">
        <v>13</v>
      </c>
      <c r="DR78" s="26">
        <v>13</v>
      </c>
      <c r="DS78" s="26"/>
      <c r="DT78" s="26">
        <v>18</v>
      </c>
      <c r="DU78" s="26"/>
      <c r="DV78" s="26"/>
      <c r="DW78" s="26"/>
      <c r="DX78" s="26">
        <v>5</v>
      </c>
      <c r="DY78" s="26"/>
      <c r="DZ78" s="26">
        <v>18</v>
      </c>
      <c r="EA78" s="26"/>
    </row>
    <row r="79" spans="1:131" ht="129.6" x14ac:dyDescent="0.3">
      <c r="A79" s="6" t="s">
        <v>874</v>
      </c>
      <c r="B79" s="7" t="s">
        <v>694</v>
      </c>
      <c r="C79" s="13" t="s">
        <v>669</v>
      </c>
      <c r="D79" s="7" t="s">
        <v>694</v>
      </c>
      <c r="E79" s="71" t="s">
        <v>700</v>
      </c>
      <c r="F79" s="71" t="s">
        <v>700</v>
      </c>
      <c r="G79" s="71" t="s">
        <v>694</v>
      </c>
      <c r="H79" s="71" t="s">
        <v>643</v>
      </c>
      <c r="I79" s="13" t="s">
        <v>646</v>
      </c>
      <c r="J79" s="13" t="s">
        <v>875</v>
      </c>
      <c r="K79" s="13" t="s">
        <v>875</v>
      </c>
      <c r="L79" s="13" t="s">
        <v>645</v>
      </c>
      <c r="M79" s="13" t="s">
        <v>876</v>
      </c>
      <c r="N79" s="13" t="s">
        <v>877</v>
      </c>
      <c r="O79" s="13" t="s">
        <v>876</v>
      </c>
      <c r="P79" s="13" t="s">
        <v>646</v>
      </c>
      <c r="Q79" s="13" t="s">
        <v>646</v>
      </c>
      <c r="R79" s="55" t="s">
        <v>878</v>
      </c>
      <c r="S79" s="55" t="s">
        <v>879</v>
      </c>
      <c r="T79" s="26" t="s">
        <v>880</v>
      </c>
      <c r="U79" s="55" t="s">
        <v>881</v>
      </c>
      <c r="V79" s="10" t="s">
        <v>882</v>
      </c>
      <c r="W79" s="55" t="s">
        <v>883</v>
      </c>
      <c r="X79" s="26" t="s">
        <v>884</v>
      </c>
      <c r="Y79" s="26" t="s">
        <v>884</v>
      </c>
      <c r="Z79" s="26" t="s">
        <v>885</v>
      </c>
      <c r="AA79" s="26" t="s">
        <v>886</v>
      </c>
      <c r="AB79" s="26" t="s">
        <v>887</v>
      </c>
      <c r="AC79" s="26" t="s">
        <v>888</v>
      </c>
      <c r="AD79" s="26" t="s">
        <v>889</v>
      </c>
      <c r="AE79" s="10" t="s">
        <v>890</v>
      </c>
      <c r="AF79" s="10" t="s">
        <v>891</v>
      </c>
      <c r="AG79" s="10" t="s">
        <v>892</v>
      </c>
      <c r="AH79" s="26" t="s">
        <v>893</v>
      </c>
      <c r="AI79" s="13" t="s">
        <v>894</v>
      </c>
      <c r="AJ79" s="13" t="s">
        <v>645</v>
      </c>
      <c r="AK79" s="13" t="s">
        <v>645</v>
      </c>
      <c r="AL79" s="13" t="s">
        <v>668</v>
      </c>
      <c r="AM79" s="13" t="s">
        <v>645</v>
      </c>
      <c r="AN79" s="13" t="s">
        <v>668</v>
      </c>
      <c r="AO79" s="13" t="s">
        <v>875</v>
      </c>
      <c r="AP79" s="13" t="s">
        <v>646</v>
      </c>
      <c r="AQ79" s="13" t="s">
        <v>895</v>
      </c>
      <c r="AR79" s="13" t="s">
        <v>896</v>
      </c>
      <c r="AS79" s="13" t="s">
        <v>875</v>
      </c>
      <c r="AT79" s="13" t="s">
        <v>668</v>
      </c>
      <c r="AU79" s="13" t="s">
        <v>875</v>
      </c>
      <c r="AV79" s="72" t="s">
        <v>897</v>
      </c>
      <c r="AW79" s="72" t="s">
        <v>897</v>
      </c>
      <c r="AX79" s="13" t="s">
        <v>700</v>
      </c>
      <c r="AY79" s="13" t="s">
        <v>669</v>
      </c>
      <c r="AZ79" s="13" t="s">
        <v>669</v>
      </c>
      <c r="BA79" s="12" t="s">
        <v>669</v>
      </c>
      <c r="BB79" s="7"/>
      <c r="BC79" s="55" t="s">
        <v>898</v>
      </c>
      <c r="BD79" s="55" t="str">
        <f t="shared" ref="BD79:BD82" si="2">BC79</f>
        <v>Baja utilizacion de arboles en las cercas de divisiones de potreros y linderos</v>
      </c>
      <c r="BE79" s="55" t="s">
        <v>672</v>
      </c>
      <c r="BF79" s="55" t="s">
        <v>899</v>
      </c>
      <c r="BG79" s="55" t="s">
        <v>899</v>
      </c>
      <c r="BH79" s="77" t="s">
        <v>900</v>
      </c>
      <c r="BI79" s="78" t="s">
        <v>901</v>
      </c>
      <c r="BJ79" s="79" t="s">
        <v>902</v>
      </c>
      <c r="BK79" s="10" t="s">
        <v>903</v>
      </c>
      <c r="BL79" s="10" t="s">
        <v>904</v>
      </c>
      <c r="BM79" s="10" t="s">
        <v>903</v>
      </c>
      <c r="BN79" s="10" t="s">
        <v>905</v>
      </c>
      <c r="BO79" s="16" t="s">
        <v>892</v>
      </c>
      <c r="BP79" s="55" t="s">
        <v>906</v>
      </c>
      <c r="BQ79" s="55" t="s">
        <v>907</v>
      </c>
      <c r="BR79" s="55" t="s">
        <v>908</v>
      </c>
      <c r="BS79" s="55" t="s">
        <v>909</v>
      </c>
      <c r="BT79" s="55" t="s">
        <v>910</v>
      </c>
      <c r="BU79" s="55" t="s">
        <v>911</v>
      </c>
      <c r="BV79" s="55" t="s">
        <v>912</v>
      </c>
      <c r="BW79" s="55" t="s">
        <v>913</v>
      </c>
      <c r="BX79" s="26" t="s">
        <v>914</v>
      </c>
      <c r="BY79" s="26" t="s">
        <v>915</v>
      </c>
      <c r="BZ79" s="73" t="s">
        <v>916</v>
      </c>
      <c r="CA79" s="26" t="s">
        <v>917</v>
      </c>
      <c r="CB79" s="26" t="s">
        <v>668</v>
      </c>
      <c r="CC79" s="26" t="s">
        <v>689</v>
      </c>
      <c r="CD79" s="26" t="s">
        <v>918</v>
      </c>
      <c r="CE79" s="26" t="s">
        <v>919</v>
      </c>
      <c r="CF79" s="73" t="s">
        <v>920</v>
      </c>
      <c r="CG79" s="73" t="s">
        <v>921</v>
      </c>
      <c r="CH79" s="26" t="s">
        <v>686</v>
      </c>
      <c r="CI79" s="26" t="s">
        <v>922</v>
      </c>
      <c r="CJ79" s="26" t="s">
        <v>694</v>
      </c>
      <c r="CK79" s="26" t="s">
        <v>686</v>
      </c>
      <c r="CL79" s="74" t="s">
        <v>919</v>
      </c>
      <c r="CM79" s="26" t="s">
        <v>923</v>
      </c>
      <c r="CN79" s="26" t="s">
        <v>668</v>
      </c>
      <c r="CO79" s="26" t="s">
        <v>645</v>
      </c>
      <c r="CP79" s="26" t="s">
        <v>645</v>
      </c>
      <c r="CQ79" s="26" t="s">
        <v>875</v>
      </c>
      <c r="CR79" s="26" t="s">
        <v>646</v>
      </c>
      <c r="CS79" s="74" t="s">
        <v>669</v>
      </c>
      <c r="CT79" s="75"/>
      <c r="CU79" s="75"/>
      <c r="CV79" s="26" t="s">
        <v>924</v>
      </c>
      <c r="CW79" s="26" t="s">
        <v>925</v>
      </c>
      <c r="CX79" s="26" t="s">
        <v>926</v>
      </c>
      <c r="CY79" s="26" t="s">
        <v>927</v>
      </c>
      <c r="CZ79" s="26" t="s">
        <v>658</v>
      </c>
      <c r="DA79" s="26" t="s">
        <v>928</v>
      </c>
      <c r="DB79" s="76" t="s">
        <v>643</v>
      </c>
      <c r="DC79" s="26" t="s">
        <v>694</v>
      </c>
      <c r="DD79" s="26" t="s">
        <v>929</v>
      </c>
      <c r="DE79" s="26"/>
      <c r="DF79" s="26" t="s">
        <v>643</v>
      </c>
      <c r="DG79" s="26" t="s">
        <v>694</v>
      </c>
      <c r="DH79" s="26" t="s">
        <v>669</v>
      </c>
      <c r="DI79" s="26" t="str">
        <f t="shared" ref="DI79:DI82" si="3">DH89</f>
        <v>NO SE LLEVA REGISTROS</v>
      </c>
      <c r="DJ79" s="26" t="s">
        <v>930</v>
      </c>
      <c r="DK79" s="26"/>
      <c r="DL79" s="26" t="s">
        <v>931</v>
      </c>
      <c r="DM79" s="26" t="s">
        <v>668</v>
      </c>
      <c r="DN79" s="26" t="s">
        <v>645</v>
      </c>
      <c r="DO79" s="26" t="s">
        <v>668</v>
      </c>
      <c r="DP79" s="74" t="s">
        <v>897</v>
      </c>
      <c r="DQ79" s="26" t="s">
        <v>932</v>
      </c>
      <c r="DR79" s="26"/>
      <c r="DS79" s="26"/>
      <c r="DT79" s="26" t="s">
        <v>643</v>
      </c>
      <c r="DU79" s="26" t="s">
        <v>933</v>
      </c>
      <c r="DV79" s="26" t="s">
        <v>680</v>
      </c>
      <c r="DW79" s="26" t="s">
        <v>900</v>
      </c>
      <c r="DX79" s="26" t="s">
        <v>934</v>
      </c>
      <c r="DY79" s="26" t="s">
        <v>901</v>
      </c>
      <c r="DZ79" s="26" t="s">
        <v>913</v>
      </c>
      <c r="EA79" s="26"/>
    </row>
    <row r="80" spans="1:131" ht="158.4" x14ac:dyDescent="0.3">
      <c r="A80" s="6" t="s">
        <v>935</v>
      </c>
      <c r="B80" s="7" t="s">
        <v>759</v>
      </c>
      <c r="C80" s="13" t="s">
        <v>731</v>
      </c>
      <c r="D80" s="7" t="s">
        <v>759</v>
      </c>
      <c r="E80" s="71" t="s">
        <v>766</v>
      </c>
      <c r="F80" s="71" t="s">
        <v>766</v>
      </c>
      <c r="G80" s="71" t="s">
        <v>759</v>
      </c>
      <c r="H80" s="71" t="s">
        <v>707</v>
      </c>
      <c r="I80" s="13" t="s">
        <v>710</v>
      </c>
      <c r="J80" s="13" t="s">
        <v>936</v>
      </c>
      <c r="K80" s="13" t="s">
        <v>936</v>
      </c>
      <c r="L80" s="13" t="s">
        <v>709</v>
      </c>
      <c r="M80" s="13" t="s">
        <v>937</v>
      </c>
      <c r="N80" s="13" t="s">
        <v>938</v>
      </c>
      <c r="O80" s="13" t="s">
        <v>937</v>
      </c>
      <c r="P80" s="13" t="s">
        <v>710</v>
      </c>
      <c r="Q80" s="13" t="s">
        <v>710</v>
      </c>
      <c r="R80" s="55" t="s">
        <v>939</v>
      </c>
      <c r="S80" s="55" t="s">
        <v>712</v>
      </c>
      <c r="T80" s="26" t="s">
        <v>940</v>
      </c>
      <c r="U80" s="55" t="s">
        <v>941</v>
      </c>
      <c r="V80" s="10" t="s">
        <v>942</v>
      </c>
      <c r="W80" s="55" t="s">
        <v>943</v>
      </c>
      <c r="X80" s="26" t="s">
        <v>944</v>
      </c>
      <c r="Y80" s="26" t="s">
        <v>945</v>
      </c>
      <c r="Z80" s="26" t="s">
        <v>946</v>
      </c>
      <c r="AA80" s="26" t="s">
        <v>947</v>
      </c>
      <c r="AB80" s="26" t="s">
        <v>948</v>
      </c>
      <c r="AC80" s="26" t="s">
        <v>949</v>
      </c>
      <c r="AD80" s="26" t="s">
        <v>950</v>
      </c>
      <c r="AE80" s="10" t="s">
        <v>951</v>
      </c>
      <c r="AF80" s="10" t="s">
        <v>952</v>
      </c>
      <c r="AG80" s="10" t="s">
        <v>953</v>
      </c>
      <c r="AH80" s="26" t="s">
        <v>954</v>
      </c>
      <c r="AI80" s="13" t="s">
        <v>955</v>
      </c>
      <c r="AJ80" s="13" t="s">
        <v>709</v>
      </c>
      <c r="AK80" s="13" t="s">
        <v>709</v>
      </c>
      <c r="AL80" s="13"/>
      <c r="AM80" s="13" t="s">
        <v>709</v>
      </c>
      <c r="AN80" s="13" t="s">
        <v>730</v>
      </c>
      <c r="AO80" s="13" t="s">
        <v>936</v>
      </c>
      <c r="AP80" s="13" t="s">
        <v>710</v>
      </c>
      <c r="AQ80" s="13" t="s">
        <v>956</v>
      </c>
      <c r="AR80" s="13" t="s">
        <v>957</v>
      </c>
      <c r="AS80" s="13" t="s">
        <v>936</v>
      </c>
      <c r="AT80" s="13" t="s">
        <v>730</v>
      </c>
      <c r="AU80" s="13" t="s">
        <v>936</v>
      </c>
      <c r="AV80" s="72" t="s">
        <v>958</v>
      </c>
      <c r="AW80" s="72" t="s">
        <v>958</v>
      </c>
      <c r="AX80" s="13" t="s">
        <v>766</v>
      </c>
      <c r="AY80" s="13" t="s">
        <v>731</v>
      </c>
      <c r="AZ80" s="13" t="s">
        <v>731</v>
      </c>
      <c r="BA80" s="12" t="s">
        <v>731</v>
      </c>
      <c r="BB80" s="7"/>
      <c r="BC80" s="55" t="s">
        <v>959</v>
      </c>
      <c r="BD80" s="55" t="str">
        <f t="shared" si="2"/>
        <v>Incorporar árboles en las cercas de divisiones y linderos para disminuir presion hacia los bosques y fortalcer corredores biologicos</v>
      </c>
      <c r="BE80" s="55" t="s">
        <v>960</v>
      </c>
      <c r="BF80" s="55" t="s">
        <v>961</v>
      </c>
      <c r="BG80" s="55" t="s">
        <v>961</v>
      </c>
      <c r="BH80" s="77" t="s">
        <v>962</v>
      </c>
      <c r="BI80" s="78" t="s">
        <v>963</v>
      </c>
      <c r="BJ80" s="79" t="s">
        <v>964</v>
      </c>
      <c r="BK80" s="10" t="s">
        <v>965</v>
      </c>
      <c r="BL80" s="10" t="s">
        <v>966</v>
      </c>
      <c r="BM80" s="10" t="s">
        <v>967</v>
      </c>
      <c r="BN80" s="10" t="s">
        <v>968</v>
      </c>
      <c r="BO80" s="16" t="s">
        <v>953</v>
      </c>
      <c r="BP80" s="55" t="s">
        <v>969</v>
      </c>
      <c r="BQ80" s="55" t="s">
        <v>970</v>
      </c>
      <c r="BR80" s="55" t="s">
        <v>971</v>
      </c>
      <c r="BS80" s="55" t="s">
        <v>972</v>
      </c>
      <c r="BT80" s="55" t="s">
        <v>973</v>
      </c>
      <c r="BU80" s="55" t="s">
        <v>974</v>
      </c>
      <c r="BV80" s="55" t="s">
        <v>975</v>
      </c>
      <c r="BW80" s="55" t="s">
        <v>976</v>
      </c>
      <c r="BX80" s="26" t="s">
        <v>977</v>
      </c>
      <c r="BY80" s="26" t="s">
        <v>978</v>
      </c>
      <c r="BZ80" s="73" t="s">
        <v>979</v>
      </c>
      <c r="CA80" s="26" t="s">
        <v>980</v>
      </c>
      <c r="CB80" s="26" t="s">
        <v>730</v>
      </c>
      <c r="CC80" s="26" t="s">
        <v>752</v>
      </c>
      <c r="CD80" s="26" t="s">
        <v>981</v>
      </c>
      <c r="CE80" s="26" t="s">
        <v>982</v>
      </c>
      <c r="CF80" s="73" t="s">
        <v>983</v>
      </c>
      <c r="CG80" s="73" t="s">
        <v>984</v>
      </c>
      <c r="CH80" s="26" t="s">
        <v>985</v>
      </c>
      <c r="CI80" s="26" t="s">
        <v>986</v>
      </c>
      <c r="CJ80" s="26" t="s">
        <v>759</v>
      </c>
      <c r="CK80" s="26" t="s">
        <v>731</v>
      </c>
      <c r="CL80" s="74" t="s">
        <v>982</v>
      </c>
      <c r="CM80" s="26" t="s">
        <v>987</v>
      </c>
      <c r="CN80" s="26" t="s">
        <v>730</v>
      </c>
      <c r="CO80" s="26" t="s">
        <v>709</v>
      </c>
      <c r="CP80" s="26" t="s">
        <v>709</v>
      </c>
      <c r="CQ80" s="26" t="s">
        <v>936</v>
      </c>
      <c r="CR80" s="26" t="s">
        <v>710</v>
      </c>
      <c r="CS80" s="74" t="s">
        <v>731</v>
      </c>
      <c r="CT80" s="75"/>
      <c r="CU80" s="75"/>
      <c r="CV80" s="26" t="s">
        <v>988</v>
      </c>
      <c r="CW80" s="26" t="s">
        <v>989</v>
      </c>
      <c r="CX80" s="26" t="s">
        <v>990</v>
      </c>
      <c r="CY80" s="26" t="s">
        <v>991</v>
      </c>
      <c r="CZ80" s="26" t="s">
        <v>992</v>
      </c>
      <c r="DA80" s="26" t="s">
        <v>993</v>
      </c>
      <c r="DB80" s="76" t="s">
        <v>707</v>
      </c>
      <c r="DC80" s="26" t="s">
        <v>759</v>
      </c>
      <c r="DD80" s="26" t="s">
        <v>994</v>
      </c>
      <c r="DE80" s="26"/>
      <c r="DF80" s="26" t="s">
        <v>707</v>
      </c>
      <c r="DG80" s="26" t="s">
        <v>759</v>
      </c>
      <c r="DH80" s="26" t="s">
        <v>731</v>
      </c>
      <c r="DI80" s="26" t="str">
        <f t="shared" si="3"/>
        <v>REGISTRAR INFORMACION</v>
      </c>
      <c r="DJ80" s="26" t="s">
        <v>995</v>
      </c>
      <c r="DK80" s="26"/>
      <c r="DL80" s="26" t="s">
        <v>996</v>
      </c>
      <c r="DM80" s="26" t="s">
        <v>730</v>
      </c>
      <c r="DN80" s="26" t="s">
        <v>709</v>
      </c>
      <c r="DO80" s="26" t="s">
        <v>730</v>
      </c>
      <c r="DP80" s="74" t="s">
        <v>958</v>
      </c>
      <c r="DQ80" s="26"/>
      <c r="DR80" s="26"/>
      <c r="DS80" s="26"/>
      <c r="DT80" s="26" t="s">
        <v>707</v>
      </c>
      <c r="DU80" s="26" t="s">
        <v>997</v>
      </c>
      <c r="DV80" s="26" t="s">
        <v>743</v>
      </c>
      <c r="DW80" s="26" t="s">
        <v>998</v>
      </c>
      <c r="DX80" s="26" t="s">
        <v>999</v>
      </c>
      <c r="DY80" s="26" t="s">
        <v>1000</v>
      </c>
      <c r="DZ80" s="26" t="s">
        <v>976</v>
      </c>
      <c r="EA80" s="26"/>
    </row>
    <row r="81" spans="1:131" ht="28.8" x14ac:dyDescent="0.3">
      <c r="A81" s="6" t="s">
        <v>1001</v>
      </c>
      <c r="B81" s="13" t="s">
        <v>798</v>
      </c>
      <c r="C81" s="13" t="s">
        <v>789</v>
      </c>
      <c r="D81" s="13" t="s">
        <v>798</v>
      </c>
      <c r="E81" s="71" t="s">
        <v>773</v>
      </c>
      <c r="F81" s="71" t="s">
        <v>773</v>
      </c>
      <c r="G81" s="71" t="s">
        <v>798</v>
      </c>
      <c r="H81" s="71" t="s">
        <v>774</v>
      </c>
      <c r="I81" s="13" t="s">
        <v>776</v>
      </c>
      <c r="J81" s="13" t="s">
        <v>776</v>
      </c>
      <c r="K81" s="13" t="s">
        <v>776</v>
      </c>
      <c r="L81" s="13" t="s">
        <v>776</v>
      </c>
      <c r="M81" s="13" t="s">
        <v>776</v>
      </c>
      <c r="N81" s="13" t="s">
        <v>787</v>
      </c>
      <c r="O81" s="13" t="s">
        <v>776</v>
      </c>
      <c r="P81" s="13" t="s">
        <v>776</v>
      </c>
      <c r="Q81" s="13" t="s">
        <v>776</v>
      </c>
      <c r="R81" s="55" t="s">
        <v>791</v>
      </c>
      <c r="S81" s="55" t="s">
        <v>1002</v>
      </c>
      <c r="T81" s="26" t="s">
        <v>1003</v>
      </c>
      <c r="U81" s="55" t="s">
        <v>1004</v>
      </c>
      <c r="V81" s="10" t="s">
        <v>776</v>
      </c>
      <c r="W81" s="55" t="s">
        <v>1005</v>
      </c>
      <c r="X81" s="26" t="s">
        <v>783</v>
      </c>
      <c r="Y81" s="26" t="s">
        <v>783</v>
      </c>
      <c r="Z81" s="26" t="s">
        <v>783</v>
      </c>
      <c r="AA81" s="26" t="s">
        <v>784</v>
      </c>
      <c r="AB81" s="26" t="s">
        <v>801</v>
      </c>
      <c r="AC81" s="26" t="s">
        <v>801</v>
      </c>
      <c r="AD81" s="26" t="s">
        <v>783</v>
      </c>
      <c r="AE81" s="10" t="s">
        <v>778</v>
      </c>
      <c r="AF81" s="10" t="s">
        <v>778</v>
      </c>
      <c r="AG81" s="10" t="s">
        <v>778</v>
      </c>
      <c r="AH81" s="26" t="s">
        <v>1006</v>
      </c>
      <c r="AI81" s="13" t="s">
        <v>776</v>
      </c>
      <c r="AJ81" s="13" t="s">
        <v>776</v>
      </c>
      <c r="AK81" s="13" t="s">
        <v>776</v>
      </c>
      <c r="AL81" s="13" t="s">
        <v>787</v>
      </c>
      <c r="AM81" s="13" t="s">
        <v>776</v>
      </c>
      <c r="AN81" s="13" t="s">
        <v>787</v>
      </c>
      <c r="AO81" s="13" t="s">
        <v>776</v>
      </c>
      <c r="AP81" s="13" t="s">
        <v>776</v>
      </c>
      <c r="AQ81" s="13" t="s">
        <v>776</v>
      </c>
      <c r="AR81" s="13" t="s">
        <v>788</v>
      </c>
      <c r="AS81" s="13" t="s">
        <v>776</v>
      </c>
      <c r="AT81" s="13" t="s">
        <v>787</v>
      </c>
      <c r="AU81" s="13" t="s">
        <v>776</v>
      </c>
      <c r="AV81" s="72" t="s">
        <v>789</v>
      </c>
      <c r="AW81" s="72" t="s">
        <v>789</v>
      </c>
      <c r="AX81" s="13" t="s">
        <v>773</v>
      </c>
      <c r="AY81" s="13" t="s">
        <v>789</v>
      </c>
      <c r="AZ81" s="13" t="s">
        <v>789</v>
      </c>
      <c r="BA81" s="12" t="s">
        <v>789</v>
      </c>
      <c r="BB81" s="7"/>
      <c r="BC81" s="55" t="s">
        <v>780</v>
      </c>
      <c r="BD81" s="55" t="str">
        <f t="shared" si="2"/>
        <v xml:space="preserve">1 año </v>
      </c>
      <c r="BE81" s="55" t="s">
        <v>778</v>
      </c>
      <c r="BF81" s="55" t="s">
        <v>791</v>
      </c>
      <c r="BG81" s="55" t="s">
        <v>791</v>
      </c>
      <c r="BH81" s="77" t="s">
        <v>791</v>
      </c>
      <c r="BI81" s="78" t="s">
        <v>778</v>
      </c>
      <c r="BJ81" s="79" t="s">
        <v>802</v>
      </c>
      <c r="BK81" s="10" t="s">
        <v>792</v>
      </c>
      <c r="BL81" s="10" t="s">
        <v>778</v>
      </c>
      <c r="BM81" s="10" t="s">
        <v>778</v>
      </c>
      <c r="BN81" s="10" t="s">
        <v>792</v>
      </c>
      <c r="BO81" s="16" t="s">
        <v>1007</v>
      </c>
      <c r="BP81" s="55" t="s">
        <v>780</v>
      </c>
      <c r="BQ81" s="55" t="s">
        <v>778</v>
      </c>
      <c r="BR81" s="55" t="s">
        <v>1005</v>
      </c>
      <c r="BS81" s="55" t="s">
        <v>780</v>
      </c>
      <c r="BT81" s="55" t="s">
        <v>791</v>
      </c>
      <c r="BU81" s="55" t="s">
        <v>1008</v>
      </c>
      <c r="BV81" s="55" t="s">
        <v>778</v>
      </c>
      <c r="BW81" s="55" t="s">
        <v>791</v>
      </c>
      <c r="BX81" s="26" t="s">
        <v>777</v>
      </c>
      <c r="BY81" s="26" t="s">
        <v>776</v>
      </c>
      <c r="BZ81" s="73" t="s">
        <v>789</v>
      </c>
      <c r="CA81" s="26" t="s">
        <v>796</v>
      </c>
      <c r="CB81" s="26" t="s">
        <v>795</v>
      </c>
      <c r="CC81" s="26" t="s">
        <v>784</v>
      </c>
      <c r="CD81" s="26" t="s">
        <v>1009</v>
      </c>
      <c r="CE81" s="26" t="s">
        <v>1010</v>
      </c>
      <c r="CF81" s="80" t="s">
        <v>777</v>
      </c>
      <c r="CG81" s="73" t="s">
        <v>797</v>
      </c>
      <c r="CH81" s="26" t="s">
        <v>789</v>
      </c>
      <c r="CI81" s="26" t="s">
        <v>1011</v>
      </c>
      <c r="CJ81" s="26" t="s">
        <v>798</v>
      </c>
      <c r="CK81" s="26" t="s">
        <v>789</v>
      </c>
      <c r="CL81" s="74" t="s">
        <v>1010</v>
      </c>
      <c r="CM81" s="26" t="s">
        <v>1012</v>
      </c>
      <c r="CN81" s="26" t="s">
        <v>787</v>
      </c>
      <c r="CO81" s="26" t="s">
        <v>776</v>
      </c>
      <c r="CP81" s="26" t="s">
        <v>776</v>
      </c>
      <c r="CQ81" s="26" t="s">
        <v>776</v>
      </c>
      <c r="CR81" s="26" t="s">
        <v>776</v>
      </c>
      <c r="CS81" s="74" t="s">
        <v>789</v>
      </c>
      <c r="CT81" s="75"/>
      <c r="CU81" s="75"/>
      <c r="CV81" s="26" t="s">
        <v>783</v>
      </c>
      <c r="CW81" s="26" t="s">
        <v>783</v>
      </c>
      <c r="CX81" s="26" t="s">
        <v>784</v>
      </c>
      <c r="CY81" s="26" t="s">
        <v>784</v>
      </c>
      <c r="CZ81" s="26" t="s">
        <v>784</v>
      </c>
      <c r="DA81" s="26" t="s">
        <v>784</v>
      </c>
      <c r="DB81" s="76" t="s">
        <v>774</v>
      </c>
      <c r="DC81" s="26" t="s">
        <v>798</v>
      </c>
      <c r="DD81" s="26" t="s">
        <v>798</v>
      </c>
      <c r="DE81" s="26"/>
      <c r="DF81" s="26" t="s">
        <v>774</v>
      </c>
      <c r="DG81" s="26" t="s">
        <v>798</v>
      </c>
      <c r="DH81" s="26" t="s">
        <v>789</v>
      </c>
      <c r="DI81" s="26" t="str">
        <f t="shared" si="3"/>
        <v xml:space="preserve">&lt;6MESES </v>
      </c>
      <c r="DJ81" s="26" t="s">
        <v>801</v>
      </c>
      <c r="DK81" s="26"/>
      <c r="DL81" s="26" t="s">
        <v>787</v>
      </c>
      <c r="DM81" s="26"/>
      <c r="DN81" s="26" t="s">
        <v>776</v>
      </c>
      <c r="DO81" s="26" t="s">
        <v>787</v>
      </c>
      <c r="DP81" s="74" t="s">
        <v>789</v>
      </c>
      <c r="DQ81" s="26"/>
      <c r="DR81" s="26"/>
      <c r="DS81" s="26"/>
      <c r="DT81" s="26" t="s">
        <v>774</v>
      </c>
      <c r="DU81" s="26" t="s">
        <v>780</v>
      </c>
      <c r="DV81" s="26" t="s">
        <v>793</v>
      </c>
      <c r="DW81" s="26" t="s">
        <v>780</v>
      </c>
      <c r="DX81" s="26" t="s">
        <v>778</v>
      </c>
      <c r="DY81" s="26" t="s">
        <v>778</v>
      </c>
      <c r="DZ81" s="26" t="s">
        <v>791</v>
      </c>
      <c r="EA81" s="26"/>
    </row>
    <row r="82" spans="1:131" ht="172.8" x14ac:dyDescent="0.3">
      <c r="A82" s="6" t="s">
        <v>1013</v>
      </c>
      <c r="B82" s="7" t="s">
        <v>857</v>
      </c>
      <c r="C82" s="13" t="s">
        <v>832</v>
      </c>
      <c r="D82" s="7" t="s">
        <v>857</v>
      </c>
      <c r="E82" s="71" t="s">
        <v>862</v>
      </c>
      <c r="F82" s="7"/>
      <c r="G82" s="71" t="s">
        <v>857</v>
      </c>
      <c r="H82" s="71" t="s">
        <v>806</v>
      </c>
      <c r="I82" s="13" t="s">
        <v>809</v>
      </c>
      <c r="J82" s="13" t="s">
        <v>1014</v>
      </c>
      <c r="K82" s="13" t="s">
        <v>1014</v>
      </c>
      <c r="L82" s="13" t="s">
        <v>808</v>
      </c>
      <c r="M82" s="13" t="s">
        <v>1015</v>
      </c>
      <c r="N82" s="13" t="s">
        <v>1016</v>
      </c>
      <c r="O82" s="13" t="s">
        <v>1015</v>
      </c>
      <c r="P82" s="13" t="s">
        <v>809</v>
      </c>
      <c r="Q82" s="13" t="s">
        <v>809</v>
      </c>
      <c r="R82" s="55" t="s">
        <v>1017</v>
      </c>
      <c r="S82" s="55" t="s">
        <v>1018</v>
      </c>
      <c r="T82" s="26" t="s">
        <v>1019</v>
      </c>
      <c r="U82" s="55" t="s">
        <v>1020</v>
      </c>
      <c r="V82" s="10" t="s">
        <v>1014</v>
      </c>
      <c r="W82" s="55" t="s">
        <v>811</v>
      </c>
      <c r="X82" s="26" t="s">
        <v>1021</v>
      </c>
      <c r="Y82" s="26" t="s">
        <v>1022</v>
      </c>
      <c r="Z82" s="26" t="s">
        <v>1023</v>
      </c>
      <c r="AA82" s="26" t="s">
        <v>1024</v>
      </c>
      <c r="AB82" s="26" t="s">
        <v>1025</v>
      </c>
      <c r="AC82" s="26" t="s">
        <v>821</v>
      </c>
      <c r="AD82" s="26" t="s">
        <v>1026</v>
      </c>
      <c r="AE82" s="10" t="s">
        <v>1027</v>
      </c>
      <c r="AF82" s="10" t="s">
        <v>1028</v>
      </c>
      <c r="AG82" s="10" t="s">
        <v>1029</v>
      </c>
      <c r="AH82" s="26" t="s">
        <v>1030</v>
      </c>
      <c r="AI82" s="13" t="s">
        <v>1031</v>
      </c>
      <c r="AJ82" s="13" t="s">
        <v>808</v>
      </c>
      <c r="AK82" s="13" t="s">
        <v>808</v>
      </c>
      <c r="AL82" s="13" t="s">
        <v>1032</v>
      </c>
      <c r="AM82" s="13" t="s">
        <v>808</v>
      </c>
      <c r="AN82" s="13" t="s">
        <v>831</v>
      </c>
      <c r="AO82" s="13" t="s">
        <v>1014</v>
      </c>
      <c r="AP82" s="13" t="s">
        <v>809</v>
      </c>
      <c r="AQ82" s="13" t="s">
        <v>1033</v>
      </c>
      <c r="AR82" s="13" t="s">
        <v>1034</v>
      </c>
      <c r="AS82" s="13" t="s">
        <v>1014</v>
      </c>
      <c r="AT82" s="13" t="s">
        <v>831</v>
      </c>
      <c r="AU82" s="13" t="s">
        <v>1014</v>
      </c>
      <c r="AV82" s="72" t="s">
        <v>832</v>
      </c>
      <c r="AW82" s="72" t="s">
        <v>832</v>
      </c>
      <c r="AX82" s="13" t="s">
        <v>862</v>
      </c>
      <c r="AY82" s="13" t="s">
        <v>832</v>
      </c>
      <c r="AZ82" s="13" t="s">
        <v>832</v>
      </c>
      <c r="BA82" s="12" t="s">
        <v>832</v>
      </c>
      <c r="BB82" s="7"/>
      <c r="BC82" s="55" t="s">
        <v>1035</v>
      </c>
      <c r="BD82" s="55" t="str">
        <f t="shared" si="2"/>
        <v>Cinta metrica, alambre de pua, postes, mano de obra, herramienta</v>
      </c>
      <c r="BE82" s="55" t="s">
        <v>835</v>
      </c>
      <c r="BF82" s="55" t="s">
        <v>1036</v>
      </c>
      <c r="BG82" s="55" t="s">
        <v>1036</v>
      </c>
      <c r="BH82" s="77" t="s">
        <v>1037</v>
      </c>
      <c r="BI82" s="78" t="s">
        <v>1038</v>
      </c>
      <c r="BJ82" s="79" t="s">
        <v>1039</v>
      </c>
      <c r="BK82" s="10" t="s">
        <v>837</v>
      </c>
      <c r="BL82" s="10" t="s">
        <v>837</v>
      </c>
      <c r="BM82" s="10" t="s">
        <v>1040</v>
      </c>
      <c r="BN82" s="10" t="s">
        <v>1041</v>
      </c>
      <c r="BO82" s="16" t="s">
        <v>1029</v>
      </c>
      <c r="BP82" s="55" t="s">
        <v>1042</v>
      </c>
      <c r="BQ82" s="55" t="s">
        <v>1043</v>
      </c>
      <c r="BR82" s="55" t="s">
        <v>811</v>
      </c>
      <c r="BS82" s="55" t="s">
        <v>1044</v>
      </c>
      <c r="BT82" s="55" t="s">
        <v>1045</v>
      </c>
      <c r="BU82" s="55" t="s">
        <v>1046</v>
      </c>
      <c r="BV82" s="55" t="s">
        <v>1047</v>
      </c>
      <c r="BW82" s="55" t="s">
        <v>1048</v>
      </c>
      <c r="BX82" s="26" t="s">
        <v>1049</v>
      </c>
      <c r="BY82" s="26" t="s">
        <v>1050</v>
      </c>
      <c r="BZ82" s="73" t="s">
        <v>1051</v>
      </c>
      <c r="CA82" s="26" t="s">
        <v>830</v>
      </c>
      <c r="CB82" s="26" t="s">
        <v>1052</v>
      </c>
      <c r="CC82" s="26" t="s">
        <v>852</v>
      </c>
      <c r="CD82" s="26" t="s">
        <v>1053</v>
      </c>
      <c r="CE82" s="74" t="s">
        <v>1054</v>
      </c>
      <c r="CF82" s="73" t="s">
        <v>1055</v>
      </c>
      <c r="CG82" s="73" t="s">
        <v>1056</v>
      </c>
      <c r="CH82" s="26" t="s">
        <v>832</v>
      </c>
      <c r="CI82" s="26" t="s">
        <v>1057</v>
      </c>
      <c r="CJ82" s="26" t="s">
        <v>857</v>
      </c>
      <c r="CK82" s="26" t="s">
        <v>1058</v>
      </c>
      <c r="CL82" s="74" t="s">
        <v>1054</v>
      </c>
      <c r="CM82" s="26" t="s">
        <v>1059</v>
      </c>
      <c r="CN82" s="26" t="s">
        <v>831</v>
      </c>
      <c r="CO82" s="26" t="s">
        <v>808</v>
      </c>
      <c r="CP82" s="26" t="s">
        <v>808</v>
      </c>
      <c r="CQ82" s="26" t="s">
        <v>1014</v>
      </c>
      <c r="CR82" s="26" t="s">
        <v>809</v>
      </c>
      <c r="CS82" s="74" t="s">
        <v>832</v>
      </c>
      <c r="CT82" s="75"/>
      <c r="CU82" s="75"/>
      <c r="CV82" s="26" t="s">
        <v>1060</v>
      </c>
      <c r="CW82" s="26" t="s">
        <v>1061</v>
      </c>
      <c r="CX82" s="26" t="s">
        <v>1062</v>
      </c>
      <c r="CY82" s="26" t="s">
        <v>1063</v>
      </c>
      <c r="CZ82" s="26" t="s">
        <v>1064</v>
      </c>
      <c r="DA82" s="26" t="s">
        <v>1064</v>
      </c>
      <c r="DB82" s="76" t="s">
        <v>806</v>
      </c>
      <c r="DC82" s="26" t="s">
        <v>857</v>
      </c>
      <c r="DD82" s="26" t="s">
        <v>1065</v>
      </c>
      <c r="DE82" s="26"/>
      <c r="DF82" s="26" t="s">
        <v>806</v>
      </c>
      <c r="DG82" s="26" t="s">
        <v>857</v>
      </c>
      <c r="DH82" s="26" t="s">
        <v>832</v>
      </c>
      <c r="DI82" s="26" t="str">
        <f t="shared" si="3"/>
        <v>FORMATO DE REGISTRO,CAPACITACION</v>
      </c>
      <c r="DJ82" s="26" t="s">
        <v>1029</v>
      </c>
      <c r="DK82" s="26"/>
      <c r="DL82" s="26" t="s">
        <v>1066</v>
      </c>
      <c r="DM82" s="26" t="s">
        <v>831</v>
      </c>
      <c r="DN82" s="26" t="s">
        <v>808</v>
      </c>
      <c r="DO82" s="26" t="s">
        <v>831</v>
      </c>
      <c r="DP82" s="74" t="s">
        <v>832</v>
      </c>
      <c r="DQ82" s="26"/>
      <c r="DR82" s="26"/>
      <c r="DS82" s="26"/>
      <c r="DT82" s="26" t="s">
        <v>806</v>
      </c>
      <c r="DU82" s="26" t="s">
        <v>1067</v>
      </c>
      <c r="DV82" s="26" t="s">
        <v>1068</v>
      </c>
      <c r="DW82" s="26" t="s">
        <v>1069</v>
      </c>
      <c r="DX82" s="26" t="s">
        <v>1070</v>
      </c>
      <c r="DY82" s="26" t="s">
        <v>1038</v>
      </c>
      <c r="DZ82" s="26" t="s">
        <v>1048</v>
      </c>
      <c r="EA82" s="26"/>
    </row>
    <row r="83" spans="1:131" ht="28.8" x14ac:dyDescent="0.3">
      <c r="A83" s="6" t="s">
        <v>1071</v>
      </c>
      <c r="B83" s="71">
        <v>14</v>
      </c>
      <c r="C83" s="7">
        <v>21</v>
      </c>
      <c r="D83" s="71">
        <v>14</v>
      </c>
      <c r="E83" s="7"/>
      <c r="F83" s="7"/>
      <c r="G83" s="13">
        <v>18</v>
      </c>
      <c r="H83" s="13"/>
      <c r="I83" s="71">
        <v>21</v>
      </c>
      <c r="J83" s="71">
        <v>29</v>
      </c>
      <c r="K83" s="71">
        <v>25</v>
      </c>
      <c r="L83" s="71">
        <v>21</v>
      </c>
      <c r="M83" s="71">
        <v>9</v>
      </c>
      <c r="N83" s="71">
        <v>21</v>
      </c>
      <c r="O83" s="71">
        <v>8</v>
      </c>
      <c r="P83" s="71">
        <v>21</v>
      </c>
      <c r="Q83" s="71">
        <v>9</v>
      </c>
      <c r="R83" s="10">
        <v>18</v>
      </c>
      <c r="S83" s="10">
        <v>9</v>
      </c>
      <c r="T83" s="10">
        <v>9</v>
      </c>
      <c r="U83" s="10">
        <v>9</v>
      </c>
      <c r="V83" s="10">
        <v>8</v>
      </c>
      <c r="W83" s="10">
        <v>9</v>
      </c>
      <c r="X83" s="26" t="s">
        <v>1072</v>
      </c>
      <c r="Y83" s="26" t="s">
        <v>1073</v>
      </c>
      <c r="Z83" s="26" t="s">
        <v>636</v>
      </c>
      <c r="AA83" s="26" t="s">
        <v>873</v>
      </c>
      <c r="AB83" s="26" t="s">
        <v>1074</v>
      </c>
      <c r="AC83" s="26" t="s">
        <v>1074</v>
      </c>
      <c r="AD83" s="26" t="s">
        <v>873</v>
      </c>
      <c r="AE83" s="10">
        <v>18</v>
      </c>
      <c r="AF83" s="10">
        <v>20</v>
      </c>
      <c r="AG83" s="10">
        <v>9</v>
      </c>
      <c r="AH83" s="26">
        <v>20</v>
      </c>
      <c r="AI83" s="71"/>
      <c r="AJ83" s="71">
        <v>12</v>
      </c>
      <c r="AK83" s="71">
        <v>20</v>
      </c>
      <c r="AL83" s="71">
        <v>18</v>
      </c>
      <c r="AM83" s="71">
        <v>14.29</v>
      </c>
      <c r="AN83" s="71">
        <v>22</v>
      </c>
      <c r="AO83" s="71"/>
      <c r="AP83" s="71">
        <v>21</v>
      </c>
      <c r="AQ83" s="71"/>
      <c r="AR83" s="71">
        <v>21</v>
      </c>
      <c r="AS83" s="71">
        <v>23</v>
      </c>
      <c r="AT83" s="71">
        <v>9</v>
      </c>
      <c r="AU83" s="71"/>
      <c r="AV83" s="72">
        <v>19</v>
      </c>
      <c r="AW83" s="71">
        <v>29</v>
      </c>
      <c r="AX83" s="9"/>
      <c r="AY83" s="71">
        <v>21</v>
      </c>
      <c r="AZ83" s="71">
        <v>21</v>
      </c>
      <c r="BA83" s="12">
        <v>18</v>
      </c>
      <c r="BB83" s="71">
        <v>14</v>
      </c>
      <c r="BC83" s="10">
        <v>18</v>
      </c>
      <c r="BD83" s="10">
        <v>9</v>
      </c>
      <c r="BE83" s="10">
        <v>20</v>
      </c>
      <c r="BF83" s="10">
        <v>10</v>
      </c>
      <c r="BG83" s="10">
        <v>20</v>
      </c>
      <c r="BH83" s="81">
        <v>9</v>
      </c>
      <c r="BI83" s="63">
        <v>9</v>
      </c>
      <c r="BJ83" s="82">
        <v>20</v>
      </c>
      <c r="BK83" s="10">
        <v>9</v>
      </c>
      <c r="BL83" s="10">
        <v>9</v>
      </c>
      <c r="BM83" s="10">
        <v>9</v>
      </c>
      <c r="BN83" s="10">
        <v>22</v>
      </c>
      <c r="BO83" s="10">
        <v>18</v>
      </c>
      <c r="BP83" s="10">
        <v>20</v>
      </c>
      <c r="BQ83" s="10">
        <v>18</v>
      </c>
      <c r="BR83" s="10">
        <v>7</v>
      </c>
      <c r="BS83" s="10">
        <v>19</v>
      </c>
      <c r="BT83" s="10">
        <v>21</v>
      </c>
      <c r="BU83" s="10">
        <v>15</v>
      </c>
      <c r="BV83" s="10">
        <v>12</v>
      </c>
      <c r="BW83" s="10">
        <v>20</v>
      </c>
      <c r="BX83" s="26">
        <v>18</v>
      </c>
      <c r="BY83" s="26">
        <v>27</v>
      </c>
      <c r="BZ83" s="73">
        <v>18</v>
      </c>
      <c r="CA83" s="26">
        <v>14</v>
      </c>
      <c r="CB83" s="26"/>
      <c r="CC83" s="26">
        <v>29</v>
      </c>
      <c r="CD83" s="26">
        <v>1</v>
      </c>
      <c r="CE83" s="74">
        <v>29</v>
      </c>
      <c r="CF83" s="73">
        <v>27</v>
      </c>
      <c r="CG83" s="73"/>
      <c r="CH83" s="26">
        <v>17</v>
      </c>
      <c r="CI83" s="26">
        <v>18</v>
      </c>
      <c r="CJ83" s="26">
        <v>14</v>
      </c>
      <c r="CK83" s="26">
        <v>27</v>
      </c>
      <c r="CL83" s="74">
        <v>29</v>
      </c>
      <c r="CM83" s="26">
        <v>9</v>
      </c>
      <c r="CN83" s="26">
        <v>9</v>
      </c>
      <c r="CO83" s="26">
        <v>9</v>
      </c>
      <c r="CP83" s="26">
        <v>21</v>
      </c>
      <c r="CQ83" s="26">
        <v>9</v>
      </c>
      <c r="CR83" s="26">
        <v>21</v>
      </c>
      <c r="CS83" s="74">
        <v>21</v>
      </c>
      <c r="CT83" s="75"/>
      <c r="CU83" s="75"/>
      <c r="CV83" s="26" t="s">
        <v>873</v>
      </c>
      <c r="CW83" s="26" t="s">
        <v>873</v>
      </c>
      <c r="CX83" s="26" t="s">
        <v>1075</v>
      </c>
      <c r="CY83" s="26" t="s">
        <v>873</v>
      </c>
      <c r="CZ83" s="26" t="s">
        <v>1076</v>
      </c>
      <c r="DA83" s="26" t="s">
        <v>1076</v>
      </c>
      <c r="DB83" s="76">
        <v>29</v>
      </c>
      <c r="DC83" s="26">
        <v>14</v>
      </c>
      <c r="DD83" s="26">
        <v>18</v>
      </c>
      <c r="DE83" s="26"/>
      <c r="DF83" s="26">
        <v>29</v>
      </c>
      <c r="DG83" s="26">
        <v>14</v>
      </c>
      <c r="DH83" s="26">
        <v>18</v>
      </c>
      <c r="DI83" s="26">
        <v>25</v>
      </c>
      <c r="DJ83" s="26">
        <v>9</v>
      </c>
      <c r="DK83" s="26"/>
      <c r="DL83" s="26">
        <v>21</v>
      </c>
      <c r="DM83" s="26">
        <v>21</v>
      </c>
      <c r="DN83" s="26">
        <v>23</v>
      </c>
      <c r="DO83" s="26">
        <v>22</v>
      </c>
      <c r="DP83" s="74">
        <v>29</v>
      </c>
      <c r="DQ83" s="26">
        <v>14</v>
      </c>
      <c r="DR83" s="26">
        <v>14</v>
      </c>
      <c r="DS83" s="26"/>
      <c r="DT83" s="26">
        <v>29</v>
      </c>
      <c r="DU83" s="26">
        <v>20</v>
      </c>
      <c r="DV83" s="26">
        <v>6</v>
      </c>
      <c r="DW83" s="26">
        <v>14</v>
      </c>
      <c r="DX83" s="26">
        <v>6</v>
      </c>
      <c r="DY83" s="26">
        <v>9</v>
      </c>
      <c r="DZ83" s="26">
        <v>20</v>
      </c>
      <c r="EA83" s="26"/>
    </row>
    <row r="84" spans="1:131" ht="100.8" x14ac:dyDescent="0.3">
      <c r="A84" s="6" t="s">
        <v>1077</v>
      </c>
      <c r="B84" s="71" t="s">
        <v>669</v>
      </c>
      <c r="C84" s="71" t="s">
        <v>642</v>
      </c>
      <c r="D84" s="71" t="s">
        <v>669</v>
      </c>
      <c r="E84" s="7"/>
      <c r="F84" s="7"/>
      <c r="G84" s="13" t="s">
        <v>643</v>
      </c>
      <c r="H84" s="13"/>
      <c r="I84" s="71" t="s">
        <v>875</v>
      </c>
      <c r="J84" s="71" t="s">
        <v>668</v>
      </c>
      <c r="K84" s="71" t="s">
        <v>895</v>
      </c>
      <c r="L84" s="71" t="s">
        <v>875</v>
      </c>
      <c r="M84" s="71" t="s">
        <v>645</v>
      </c>
      <c r="N84" s="71" t="s">
        <v>875</v>
      </c>
      <c r="O84" s="71" t="s">
        <v>646</v>
      </c>
      <c r="P84" s="71" t="s">
        <v>875</v>
      </c>
      <c r="Q84" s="71" t="s">
        <v>645</v>
      </c>
      <c r="R84" s="55" t="s">
        <v>1078</v>
      </c>
      <c r="S84" s="55" t="s">
        <v>1079</v>
      </c>
      <c r="T84" s="26" t="s">
        <v>1080</v>
      </c>
      <c r="U84" s="55" t="s">
        <v>1081</v>
      </c>
      <c r="V84" s="10" t="s">
        <v>646</v>
      </c>
      <c r="W84" s="55" t="s">
        <v>1082</v>
      </c>
      <c r="X84" s="26" t="s">
        <v>1083</v>
      </c>
      <c r="Y84" s="26" t="s">
        <v>1084</v>
      </c>
      <c r="Z84" s="26" t="s">
        <v>1085</v>
      </c>
      <c r="AA84" s="26" t="s">
        <v>1086</v>
      </c>
      <c r="AB84" s="26" t="s">
        <v>1087</v>
      </c>
      <c r="AC84" s="26" t="s">
        <v>1088</v>
      </c>
      <c r="AD84" s="26" t="s">
        <v>1089</v>
      </c>
      <c r="AE84" s="10" t="s">
        <v>1090</v>
      </c>
      <c r="AF84" s="10" t="s">
        <v>1091</v>
      </c>
      <c r="AG84" s="10" t="s">
        <v>1092</v>
      </c>
      <c r="AH84" s="26" t="s">
        <v>1093</v>
      </c>
      <c r="AI84" s="71" t="s">
        <v>1094</v>
      </c>
      <c r="AJ84" s="71" t="s">
        <v>1095</v>
      </c>
      <c r="AK84" s="71" t="s">
        <v>1096</v>
      </c>
      <c r="AL84" s="71" t="s">
        <v>1097</v>
      </c>
      <c r="AM84" s="71" t="s">
        <v>668</v>
      </c>
      <c r="AN84" s="71" t="s">
        <v>918</v>
      </c>
      <c r="AO84" s="71"/>
      <c r="AP84" s="71" t="s">
        <v>875</v>
      </c>
      <c r="AQ84" s="71"/>
      <c r="AR84" s="71" t="s">
        <v>875</v>
      </c>
      <c r="AS84" s="71" t="s">
        <v>877</v>
      </c>
      <c r="AT84" s="71" t="s">
        <v>645</v>
      </c>
      <c r="AU84" s="71"/>
      <c r="AV84" s="72" t="s">
        <v>1098</v>
      </c>
      <c r="AW84" s="71" t="s">
        <v>700</v>
      </c>
      <c r="AX84" s="9"/>
      <c r="AY84" s="71" t="s">
        <v>642</v>
      </c>
      <c r="AZ84" s="71" t="s">
        <v>642</v>
      </c>
      <c r="BA84" s="12" t="s">
        <v>643</v>
      </c>
      <c r="BB84" s="71" t="s">
        <v>669</v>
      </c>
      <c r="BC84" s="55" t="s">
        <v>1099</v>
      </c>
      <c r="BD84" s="55" t="s">
        <v>1100</v>
      </c>
      <c r="BE84" s="55" t="s">
        <v>1101</v>
      </c>
      <c r="BF84" s="55" t="s">
        <v>1102</v>
      </c>
      <c r="BG84" s="55" t="s">
        <v>1101</v>
      </c>
      <c r="BH84" s="77" t="s">
        <v>899</v>
      </c>
      <c r="BI84" s="78" t="s">
        <v>899</v>
      </c>
      <c r="BJ84" s="79" t="s">
        <v>1101</v>
      </c>
      <c r="BK84" s="10" t="s">
        <v>1103</v>
      </c>
      <c r="BL84" s="10" t="s">
        <v>1104</v>
      </c>
      <c r="BM84" s="10" t="s">
        <v>1105</v>
      </c>
      <c r="BN84" s="10" t="s">
        <v>1106</v>
      </c>
      <c r="BO84" s="10" t="s">
        <v>913</v>
      </c>
      <c r="BP84" s="55" t="s">
        <v>1107</v>
      </c>
      <c r="BQ84" s="55" t="s">
        <v>906</v>
      </c>
      <c r="BR84" s="55" t="s">
        <v>911</v>
      </c>
      <c r="BS84" s="55" t="s">
        <v>1108</v>
      </c>
      <c r="BT84" s="55" t="s">
        <v>1109</v>
      </c>
      <c r="BU84" s="55" t="s">
        <v>1110</v>
      </c>
      <c r="BV84" s="55" t="s">
        <v>1111</v>
      </c>
      <c r="BW84" s="55" t="s">
        <v>1112</v>
      </c>
      <c r="BX84" s="26" t="s">
        <v>1113</v>
      </c>
      <c r="BY84" s="26" t="s">
        <v>1114</v>
      </c>
      <c r="BZ84" s="73" t="s">
        <v>1115</v>
      </c>
      <c r="CA84" s="26" t="s">
        <v>687</v>
      </c>
      <c r="CB84" s="26"/>
      <c r="CC84" s="26" t="s">
        <v>668</v>
      </c>
      <c r="CD84" s="26" t="s">
        <v>1116</v>
      </c>
      <c r="CE84" s="74" t="s">
        <v>921</v>
      </c>
      <c r="CF84" s="26" t="s">
        <v>1117</v>
      </c>
      <c r="CG84" s="80"/>
      <c r="CH84" s="26" t="s">
        <v>1118</v>
      </c>
      <c r="CI84" s="26" t="s">
        <v>643</v>
      </c>
      <c r="CJ84" s="26" t="s">
        <v>686</v>
      </c>
      <c r="CK84" s="26" t="s">
        <v>919</v>
      </c>
      <c r="CL84" s="74" t="s">
        <v>700</v>
      </c>
      <c r="CM84" s="26" t="s">
        <v>1119</v>
      </c>
      <c r="CN84" s="26" t="s">
        <v>645</v>
      </c>
      <c r="CO84" s="26" t="s">
        <v>645</v>
      </c>
      <c r="CP84" s="26" t="s">
        <v>875</v>
      </c>
      <c r="CQ84" s="26" t="s">
        <v>645</v>
      </c>
      <c r="CR84" s="26" t="s">
        <v>875</v>
      </c>
      <c r="CS84" s="74" t="s">
        <v>642</v>
      </c>
      <c r="CT84" s="75"/>
      <c r="CU84" s="75"/>
      <c r="CV84" s="26" t="s">
        <v>1120</v>
      </c>
      <c r="CW84" s="26" t="s">
        <v>1121</v>
      </c>
      <c r="CX84" s="26" t="s">
        <v>1122</v>
      </c>
      <c r="CY84" s="26" t="s">
        <v>1123</v>
      </c>
      <c r="CZ84" s="26" t="s">
        <v>1124</v>
      </c>
      <c r="DA84" s="26" t="s">
        <v>1125</v>
      </c>
      <c r="DB84" s="76" t="s">
        <v>700</v>
      </c>
      <c r="DC84" s="26" t="s">
        <v>669</v>
      </c>
      <c r="DD84" s="26" t="s">
        <v>643</v>
      </c>
      <c r="DE84" s="26"/>
      <c r="DF84" s="26" t="s">
        <v>700</v>
      </c>
      <c r="DG84" s="26" t="s">
        <v>669</v>
      </c>
      <c r="DH84" s="26" t="s">
        <v>643</v>
      </c>
      <c r="DI84" s="26"/>
      <c r="DJ84" s="26" t="s">
        <v>1126</v>
      </c>
      <c r="DK84" s="26"/>
      <c r="DL84" s="26" t="s">
        <v>875</v>
      </c>
      <c r="DM84" s="26" t="s">
        <v>875</v>
      </c>
      <c r="DN84" s="26" t="s">
        <v>1127</v>
      </c>
      <c r="DO84" s="26" t="s">
        <v>918</v>
      </c>
      <c r="DP84" s="74" t="s">
        <v>700</v>
      </c>
      <c r="DQ84" s="26" t="s">
        <v>669</v>
      </c>
      <c r="DR84" s="26" t="s">
        <v>669</v>
      </c>
      <c r="DS84" s="26"/>
      <c r="DT84" s="26" t="s">
        <v>700</v>
      </c>
      <c r="DU84" s="26" t="s">
        <v>1128</v>
      </c>
      <c r="DV84" s="26" t="s">
        <v>901</v>
      </c>
      <c r="DW84" s="26" t="s">
        <v>1129</v>
      </c>
      <c r="DX84" s="26" t="s">
        <v>1130</v>
      </c>
      <c r="DY84" s="26" t="s">
        <v>899</v>
      </c>
      <c r="DZ84" s="26" t="s">
        <v>1112</v>
      </c>
      <c r="EA84" s="26"/>
    </row>
    <row r="85" spans="1:131" ht="172.8" x14ac:dyDescent="0.3">
      <c r="A85" s="6" t="s">
        <v>1131</v>
      </c>
      <c r="B85" s="71" t="s">
        <v>731</v>
      </c>
      <c r="C85" s="71" t="s">
        <v>706</v>
      </c>
      <c r="D85" s="71" t="s">
        <v>731</v>
      </c>
      <c r="E85" s="7"/>
      <c r="F85" s="7"/>
      <c r="G85" s="13" t="s">
        <v>707</v>
      </c>
      <c r="H85" s="13"/>
      <c r="I85" s="71" t="s">
        <v>936</v>
      </c>
      <c r="J85" s="71" t="s">
        <v>730</v>
      </c>
      <c r="K85" s="71" t="s">
        <v>956</v>
      </c>
      <c r="L85" s="71" t="s">
        <v>936</v>
      </c>
      <c r="M85" s="71" t="s">
        <v>709</v>
      </c>
      <c r="N85" s="71" t="s">
        <v>936</v>
      </c>
      <c r="O85" s="71" t="s">
        <v>710</v>
      </c>
      <c r="P85" s="71" t="s">
        <v>936</v>
      </c>
      <c r="Q85" s="71" t="s">
        <v>709</v>
      </c>
      <c r="R85" s="55" t="s">
        <v>1132</v>
      </c>
      <c r="S85" s="55" t="s">
        <v>1133</v>
      </c>
      <c r="T85" s="26" t="s">
        <v>1134</v>
      </c>
      <c r="U85" s="55" t="s">
        <v>1135</v>
      </c>
      <c r="V85" s="10" t="s">
        <v>710</v>
      </c>
      <c r="W85" s="55" t="s">
        <v>1136</v>
      </c>
      <c r="X85" s="26" t="s">
        <v>1137</v>
      </c>
      <c r="Y85" s="26" t="s">
        <v>1138</v>
      </c>
      <c r="Z85" s="26" t="s">
        <v>1139</v>
      </c>
      <c r="AA85" s="26" t="s">
        <v>1140</v>
      </c>
      <c r="AB85" s="26" t="s">
        <v>1141</v>
      </c>
      <c r="AC85" s="26" t="s">
        <v>1142</v>
      </c>
      <c r="AD85" s="26" t="s">
        <v>1026</v>
      </c>
      <c r="AE85" s="10" t="s">
        <v>1143</v>
      </c>
      <c r="AF85" s="10" t="s">
        <v>1144</v>
      </c>
      <c r="AG85" s="10" t="s">
        <v>1145</v>
      </c>
      <c r="AH85" s="26" t="s">
        <v>1146</v>
      </c>
      <c r="AI85" s="71" t="s">
        <v>1147</v>
      </c>
      <c r="AJ85" s="71" t="s">
        <v>1148</v>
      </c>
      <c r="AK85" s="71" t="s">
        <v>1149</v>
      </c>
      <c r="AL85" s="71" t="s">
        <v>1150</v>
      </c>
      <c r="AM85" s="71" t="s">
        <v>730</v>
      </c>
      <c r="AN85" s="71" t="s">
        <v>1151</v>
      </c>
      <c r="AO85" s="71"/>
      <c r="AP85" s="71" t="s">
        <v>936</v>
      </c>
      <c r="AQ85" s="71"/>
      <c r="AR85" s="71" t="s">
        <v>936</v>
      </c>
      <c r="AS85" s="71" t="s">
        <v>938</v>
      </c>
      <c r="AT85" s="71" t="s">
        <v>709</v>
      </c>
      <c r="AU85" s="71"/>
      <c r="AV85" s="83" t="s">
        <v>1152</v>
      </c>
      <c r="AW85" s="71" t="s">
        <v>766</v>
      </c>
      <c r="AX85" s="9"/>
      <c r="AY85" s="71" t="s">
        <v>706</v>
      </c>
      <c r="AZ85" s="71" t="s">
        <v>706</v>
      </c>
      <c r="BA85" s="12" t="s">
        <v>707</v>
      </c>
      <c r="BB85" s="71" t="s">
        <v>731</v>
      </c>
      <c r="BC85" s="55" t="s">
        <v>1153</v>
      </c>
      <c r="BD85" s="55" t="s">
        <v>1154</v>
      </c>
      <c r="BE85" s="55" t="s">
        <v>1155</v>
      </c>
      <c r="BF85" s="55" t="s">
        <v>1156</v>
      </c>
      <c r="BG85" s="55" t="s">
        <v>1155</v>
      </c>
      <c r="BH85" s="77" t="s">
        <v>1157</v>
      </c>
      <c r="BI85" s="78" t="s">
        <v>1158</v>
      </c>
      <c r="BJ85" s="79" t="s">
        <v>1159</v>
      </c>
      <c r="BK85" s="10" t="s">
        <v>1160</v>
      </c>
      <c r="BL85" s="10" t="s">
        <v>1161</v>
      </c>
      <c r="BM85" s="10" t="s">
        <v>1162</v>
      </c>
      <c r="BN85" s="10" t="s">
        <v>1163</v>
      </c>
      <c r="BO85" s="10" t="s">
        <v>976</v>
      </c>
      <c r="BP85" s="55" t="s">
        <v>1164</v>
      </c>
      <c r="BQ85" s="55" t="s">
        <v>1165</v>
      </c>
      <c r="BR85" s="55" t="s">
        <v>1166</v>
      </c>
      <c r="BS85" s="55" t="s">
        <v>1167</v>
      </c>
      <c r="BT85" s="55" t="s">
        <v>1168</v>
      </c>
      <c r="BU85" s="55" t="s">
        <v>1169</v>
      </c>
      <c r="BV85" s="55" t="s">
        <v>1170</v>
      </c>
      <c r="BW85" s="55" t="s">
        <v>1171</v>
      </c>
      <c r="BX85" s="26" t="s">
        <v>707</v>
      </c>
      <c r="BY85" s="26" t="s">
        <v>1172</v>
      </c>
      <c r="BZ85" s="73" t="s">
        <v>1173</v>
      </c>
      <c r="CA85" s="26" t="s">
        <v>730</v>
      </c>
      <c r="CB85" s="26"/>
      <c r="CC85" s="26" t="s">
        <v>730</v>
      </c>
      <c r="CD85" s="26" t="s">
        <v>1174</v>
      </c>
      <c r="CE85" s="74" t="s">
        <v>984</v>
      </c>
      <c r="CF85" s="26" t="s">
        <v>982</v>
      </c>
      <c r="CG85" s="73"/>
      <c r="CH85" s="26" t="s">
        <v>986</v>
      </c>
      <c r="CI85" s="26" t="s">
        <v>707</v>
      </c>
      <c r="CJ85" s="26" t="s">
        <v>1175</v>
      </c>
      <c r="CK85" s="26" t="s">
        <v>982</v>
      </c>
      <c r="CL85" s="74" t="s">
        <v>766</v>
      </c>
      <c r="CM85" s="26" t="s">
        <v>1176</v>
      </c>
      <c r="CN85" s="26" t="s">
        <v>709</v>
      </c>
      <c r="CO85" s="26" t="s">
        <v>709</v>
      </c>
      <c r="CP85" s="26" t="s">
        <v>936</v>
      </c>
      <c r="CQ85" s="26" t="s">
        <v>709</v>
      </c>
      <c r="CR85" s="26" t="s">
        <v>936</v>
      </c>
      <c r="CS85" s="74" t="s">
        <v>706</v>
      </c>
      <c r="CT85" s="75"/>
      <c r="CU85" s="75"/>
      <c r="CV85" s="26" t="s">
        <v>1177</v>
      </c>
      <c r="CW85" s="26" t="s">
        <v>1178</v>
      </c>
      <c r="CX85" s="26" t="s">
        <v>1179</v>
      </c>
      <c r="CY85" s="26" t="s">
        <v>1180</v>
      </c>
      <c r="CZ85" s="26" t="s">
        <v>1181</v>
      </c>
      <c r="DA85" s="26" t="s">
        <v>1182</v>
      </c>
      <c r="DB85" s="76" t="s">
        <v>766</v>
      </c>
      <c r="DC85" s="26" t="s">
        <v>731</v>
      </c>
      <c r="DD85" s="26" t="s">
        <v>707</v>
      </c>
      <c r="DE85" s="26"/>
      <c r="DF85" s="26" t="s">
        <v>766</v>
      </c>
      <c r="DG85" s="26" t="s">
        <v>731</v>
      </c>
      <c r="DH85" s="26" t="s">
        <v>707</v>
      </c>
      <c r="DI85" s="26"/>
      <c r="DJ85" s="26" t="s">
        <v>1183</v>
      </c>
      <c r="DK85" s="26" t="s">
        <v>788</v>
      </c>
      <c r="DL85" s="26" t="s">
        <v>936</v>
      </c>
      <c r="DM85" s="26" t="s">
        <v>936</v>
      </c>
      <c r="DN85" s="26" t="s">
        <v>1184</v>
      </c>
      <c r="DO85" s="26" t="s">
        <v>1185</v>
      </c>
      <c r="DP85" s="74" t="s">
        <v>766</v>
      </c>
      <c r="DQ85" s="26" t="s">
        <v>731</v>
      </c>
      <c r="DR85" s="26" t="s">
        <v>731</v>
      </c>
      <c r="DS85" s="26"/>
      <c r="DT85" s="26" t="s">
        <v>766</v>
      </c>
      <c r="DU85" s="26" t="s">
        <v>1186</v>
      </c>
      <c r="DV85" s="26" t="s">
        <v>1187</v>
      </c>
      <c r="DW85" s="26" t="s">
        <v>1188</v>
      </c>
      <c r="DX85" s="26" t="s">
        <v>1189</v>
      </c>
      <c r="DY85" s="26" t="s">
        <v>1190</v>
      </c>
      <c r="DZ85" s="26" t="s">
        <v>1171</v>
      </c>
      <c r="EA85" s="26"/>
    </row>
    <row r="86" spans="1:131" ht="43.2" x14ac:dyDescent="0.3">
      <c r="A86" s="6" t="s">
        <v>1191</v>
      </c>
      <c r="B86" s="71" t="s">
        <v>789</v>
      </c>
      <c r="C86" s="71" t="s">
        <v>773</v>
      </c>
      <c r="D86" s="71" t="s">
        <v>789</v>
      </c>
      <c r="E86" s="7"/>
      <c r="F86" s="7"/>
      <c r="G86" s="13" t="s">
        <v>774</v>
      </c>
      <c r="H86" s="13"/>
      <c r="I86" s="71" t="s">
        <v>776</v>
      </c>
      <c r="J86" s="71" t="s">
        <v>787</v>
      </c>
      <c r="K86" s="71" t="s">
        <v>776</v>
      </c>
      <c r="L86" s="71" t="s">
        <v>776</v>
      </c>
      <c r="M86" s="71" t="s">
        <v>776</v>
      </c>
      <c r="N86" s="71" t="s">
        <v>776</v>
      </c>
      <c r="O86" s="71" t="s">
        <v>776</v>
      </c>
      <c r="P86" s="71" t="s">
        <v>776</v>
      </c>
      <c r="Q86" s="71" t="s">
        <v>776</v>
      </c>
      <c r="R86" s="55" t="s">
        <v>1192</v>
      </c>
      <c r="S86" s="55" t="s">
        <v>1006</v>
      </c>
      <c r="T86" s="26" t="s">
        <v>1193</v>
      </c>
      <c r="U86" s="55" t="s">
        <v>781</v>
      </c>
      <c r="V86" s="10" t="s">
        <v>776</v>
      </c>
      <c r="W86" s="55" t="s">
        <v>1194</v>
      </c>
      <c r="X86" s="26" t="s">
        <v>784</v>
      </c>
      <c r="Y86" s="26" t="s">
        <v>783</v>
      </c>
      <c r="Z86" s="26" t="s">
        <v>784</v>
      </c>
      <c r="AA86" s="26" t="s">
        <v>801</v>
      </c>
      <c r="AB86" s="26" t="s">
        <v>784</v>
      </c>
      <c r="AC86" s="26" t="s">
        <v>784</v>
      </c>
      <c r="AD86" s="26" t="s">
        <v>783</v>
      </c>
      <c r="AE86" s="10" t="s">
        <v>791</v>
      </c>
      <c r="AF86" s="10" t="s">
        <v>778</v>
      </c>
      <c r="AG86" s="10" t="s">
        <v>778</v>
      </c>
      <c r="AH86" s="26" t="s">
        <v>1195</v>
      </c>
      <c r="AI86" s="71" t="s">
        <v>776</v>
      </c>
      <c r="AJ86" s="71" t="s">
        <v>787</v>
      </c>
      <c r="AK86" s="71"/>
      <c r="AL86" s="71" t="s">
        <v>788</v>
      </c>
      <c r="AM86" s="71" t="s">
        <v>787</v>
      </c>
      <c r="AN86" s="71" t="s">
        <v>776</v>
      </c>
      <c r="AO86" s="71"/>
      <c r="AP86" s="71" t="s">
        <v>776</v>
      </c>
      <c r="AQ86" s="71"/>
      <c r="AR86" s="71" t="s">
        <v>776</v>
      </c>
      <c r="AS86" s="71" t="s">
        <v>787</v>
      </c>
      <c r="AT86" s="71" t="s">
        <v>776</v>
      </c>
      <c r="AU86" s="71"/>
      <c r="AV86" s="72" t="s">
        <v>773</v>
      </c>
      <c r="AW86" s="71" t="s">
        <v>773</v>
      </c>
      <c r="AX86" s="9"/>
      <c r="AY86" s="71" t="s">
        <v>773</v>
      </c>
      <c r="AZ86" s="71" t="s">
        <v>773</v>
      </c>
      <c r="BA86" s="12" t="s">
        <v>774</v>
      </c>
      <c r="BB86" s="71" t="s">
        <v>789</v>
      </c>
      <c r="BC86" s="55" t="s">
        <v>791</v>
      </c>
      <c r="BD86" s="55" t="s">
        <v>780</v>
      </c>
      <c r="BE86" s="55" t="s">
        <v>778</v>
      </c>
      <c r="BF86" s="55" t="s">
        <v>778</v>
      </c>
      <c r="BG86" s="55" t="s">
        <v>778</v>
      </c>
      <c r="BH86" s="77" t="s">
        <v>780</v>
      </c>
      <c r="BI86" s="78" t="s">
        <v>790</v>
      </c>
      <c r="BJ86" s="79" t="s">
        <v>778</v>
      </c>
      <c r="BK86" s="10" t="s">
        <v>1196</v>
      </c>
      <c r="BL86" s="10" t="s">
        <v>778</v>
      </c>
      <c r="BM86" s="10" t="s">
        <v>778</v>
      </c>
      <c r="BN86" s="10" t="s">
        <v>791</v>
      </c>
      <c r="BO86" s="10" t="s">
        <v>791</v>
      </c>
      <c r="BP86" s="55" t="s">
        <v>778</v>
      </c>
      <c r="BQ86" s="55" t="s">
        <v>780</v>
      </c>
      <c r="BR86" s="55" t="s">
        <v>1197</v>
      </c>
      <c r="BS86" s="55" t="s">
        <v>778</v>
      </c>
      <c r="BT86" s="55" t="s">
        <v>780</v>
      </c>
      <c r="BU86" s="55" t="s">
        <v>1198</v>
      </c>
      <c r="BV86" s="55" t="s">
        <v>1199</v>
      </c>
      <c r="BW86" s="55" t="s">
        <v>780</v>
      </c>
      <c r="BX86" s="26" t="s">
        <v>777</v>
      </c>
      <c r="BY86" s="26" t="s">
        <v>796</v>
      </c>
      <c r="BZ86" s="73" t="s">
        <v>1200</v>
      </c>
      <c r="CA86" s="26" t="s">
        <v>795</v>
      </c>
      <c r="CB86" s="26"/>
      <c r="CC86" s="26" t="s">
        <v>795</v>
      </c>
      <c r="CD86" s="26" t="s">
        <v>776</v>
      </c>
      <c r="CE86" s="74" t="s">
        <v>796</v>
      </c>
      <c r="CF86" s="73" t="s">
        <v>1010</v>
      </c>
      <c r="CG86" s="84"/>
      <c r="CH86" s="26" t="s">
        <v>1011</v>
      </c>
      <c r="CI86" s="26" t="s">
        <v>774</v>
      </c>
      <c r="CJ86" s="26" t="s">
        <v>789</v>
      </c>
      <c r="CK86" s="26" t="s">
        <v>1010</v>
      </c>
      <c r="CL86" s="74" t="s">
        <v>773</v>
      </c>
      <c r="CM86" s="26" t="s">
        <v>1201</v>
      </c>
      <c r="CN86" s="26" t="s">
        <v>776</v>
      </c>
      <c r="CO86" s="26" t="s">
        <v>776</v>
      </c>
      <c r="CP86" s="26" t="s">
        <v>776</v>
      </c>
      <c r="CQ86" s="26" t="s">
        <v>776</v>
      </c>
      <c r="CR86" s="26" t="s">
        <v>776</v>
      </c>
      <c r="CS86" s="74" t="s">
        <v>773</v>
      </c>
      <c r="CT86" s="75"/>
      <c r="CU86" s="75"/>
      <c r="CV86" s="26" t="s">
        <v>801</v>
      </c>
      <c r="CW86" s="26" t="s">
        <v>801</v>
      </c>
      <c r="CX86" s="26" t="s">
        <v>784</v>
      </c>
      <c r="CY86" s="26" t="s">
        <v>783</v>
      </c>
      <c r="CZ86" s="26" t="s">
        <v>801</v>
      </c>
      <c r="DA86" s="26" t="s">
        <v>801</v>
      </c>
      <c r="DB86" s="76" t="s">
        <v>773</v>
      </c>
      <c r="DC86" s="26" t="s">
        <v>789</v>
      </c>
      <c r="DD86" s="26" t="s">
        <v>774</v>
      </c>
      <c r="DE86" s="26"/>
      <c r="DF86" s="26" t="s">
        <v>773</v>
      </c>
      <c r="DG86" s="26" t="s">
        <v>789</v>
      </c>
      <c r="DH86" s="26" t="s">
        <v>774</v>
      </c>
      <c r="DI86" s="26"/>
      <c r="DJ86" s="26" t="s">
        <v>801</v>
      </c>
      <c r="DK86" s="26" t="s">
        <v>1202</v>
      </c>
      <c r="DL86" s="26" t="s">
        <v>776</v>
      </c>
      <c r="DM86" s="26" t="s">
        <v>1203</v>
      </c>
      <c r="DN86" s="26" t="s">
        <v>788</v>
      </c>
      <c r="DO86" s="26" t="s">
        <v>1203</v>
      </c>
      <c r="DP86" s="74" t="s">
        <v>773</v>
      </c>
      <c r="DQ86" s="26" t="s">
        <v>789</v>
      </c>
      <c r="DR86" s="26" t="s">
        <v>789</v>
      </c>
      <c r="DS86" s="26"/>
      <c r="DT86" s="26" t="s">
        <v>773</v>
      </c>
      <c r="DU86" s="26" t="s">
        <v>778</v>
      </c>
      <c r="DV86" s="26" t="s">
        <v>778</v>
      </c>
      <c r="DW86" s="26" t="s">
        <v>791</v>
      </c>
      <c r="DX86" s="26" t="s">
        <v>778</v>
      </c>
      <c r="DY86" s="26" t="s">
        <v>780</v>
      </c>
      <c r="DZ86" s="26" t="s">
        <v>780</v>
      </c>
      <c r="EA86" s="26"/>
    </row>
    <row r="87" spans="1:131" ht="144" x14ac:dyDescent="0.3">
      <c r="A87" s="6" t="s">
        <v>1204</v>
      </c>
      <c r="B87" s="71" t="s">
        <v>832</v>
      </c>
      <c r="C87" s="71" t="s">
        <v>1205</v>
      </c>
      <c r="D87" s="71" t="s">
        <v>832</v>
      </c>
      <c r="E87" s="7"/>
      <c r="F87" s="7"/>
      <c r="G87" s="13" t="s">
        <v>806</v>
      </c>
      <c r="H87" s="13"/>
      <c r="I87" s="71" t="s">
        <v>1014</v>
      </c>
      <c r="J87" s="71" t="s">
        <v>831</v>
      </c>
      <c r="K87" s="71" t="s">
        <v>1033</v>
      </c>
      <c r="L87" s="71" t="s">
        <v>1014</v>
      </c>
      <c r="M87" s="71" t="s">
        <v>808</v>
      </c>
      <c r="N87" s="71" t="s">
        <v>1014</v>
      </c>
      <c r="O87" s="71" t="s">
        <v>809</v>
      </c>
      <c r="P87" s="71" t="s">
        <v>1014</v>
      </c>
      <c r="Q87" s="71" t="s">
        <v>808</v>
      </c>
      <c r="R87" s="55" t="s">
        <v>1206</v>
      </c>
      <c r="S87" s="55" t="s">
        <v>1036</v>
      </c>
      <c r="T87" s="26" t="s">
        <v>1207</v>
      </c>
      <c r="U87" s="55" t="s">
        <v>1208</v>
      </c>
      <c r="V87" s="10" t="s">
        <v>809</v>
      </c>
      <c r="W87" s="55" t="s">
        <v>1036</v>
      </c>
      <c r="X87" s="26"/>
      <c r="Y87" s="26" t="s">
        <v>1209</v>
      </c>
      <c r="Z87" s="26" t="s">
        <v>1210</v>
      </c>
      <c r="AA87" s="26" t="s">
        <v>1211</v>
      </c>
      <c r="AB87" s="26" t="s">
        <v>1212</v>
      </c>
      <c r="AC87" s="26" t="s">
        <v>821</v>
      </c>
      <c r="AD87" s="26" t="s">
        <v>1213</v>
      </c>
      <c r="AE87" s="10" t="s">
        <v>1214</v>
      </c>
      <c r="AF87" s="10" t="s">
        <v>1215</v>
      </c>
      <c r="AG87" s="10" t="s">
        <v>1216</v>
      </c>
      <c r="AH87" s="26" t="s">
        <v>1217</v>
      </c>
      <c r="AI87" s="71" t="s">
        <v>1218</v>
      </c>
      <c r="AJ87" s="71" t="s">
        <v>1219</v>
      </c>
      <c r="AK87" s="71"/>
      <c r="AL87" s="71" t="s">
        <v>1220</v>
      </c>
      <c r="AM87" s="71" t="s">
        <v>831</v>
      </c>
      <c r="AN87" s="71" t="s">
        <v>1221</v>
      </c>
      <c r="AO87" s="71"/>
      <c r="AP87" s="71" t="s">
        <v>1014</v>
      </c>
      <c r="AQ87" s="71"/>
      <c r="AR87" s="71" t="s">
        <v>1014</v>
      </c>
      <c r="AS87" s="71" t="s">
        <v>1016</v>
      </c>
      <c r="AT87" s="71" t="s">
        <v>808</v>
      </c>
      <c r="AU87" s="71"/>
      <c r="AV87" s="72" t="s">
        <v>1222</v>
      </c>
      <c r="AW87" s="71" t="s">
        <v>862</v>
      </c>
      <c r="AX87" s="9"/>
      <c r="AY87" s="71" t="s">
        <v>1205</v>
      </c>
      <c r="AZ87" s="71" t="s">
        <v>1205</v>
      </c>
      <c r="BA87" s="12" t="s">
        <v>806</v>
      </c>
      <c r="BB87" s="71" t="s">
        <v>832</v>
      </c>
      <c r="BC87" s="55" t="s">
        <v>1223</v>
      </c>
      <c r="BD87" s="55" t="s">
        <v>1224</v>
      </c>
      <c r="BE87" s="55" t="s">
        <v>1225</v>
      </c>
      <c r="BF87" s="55" t="s">
        <v>1226</v>
      </c>
      <c r="BG87" s="55" t="s">
        <v>1225</v>
      </c>
      <c r="BH87" s="77" t="s">
        <v>1036</v>
      </c>
      <c r="BI87" s="78" t="s">
        <v>1227</v>
      </c>
      <c r="BJ87" s="79" t="s">
        <v>1228</v>
      </c>
      <c r="BK87" s="10" t="s">
        <v>1229</v>
      </c>
      <c r="BL87" s="10" t="s">
        <v>1229</v>
      </c>
      <c r="BM87" s="10" t="s">
        <v>1040</v>
      </c>
      <c r="BN87" s="10" t="s">
        <v>1230</v>
      </c>
      <c r="BO87" s="10" t="s">
        <v>1048</v>
      </c>
      <c r="BP87" s="55" t="s">
        <v>1231</v>
      </c>
      <c r="BQ87" s="55" t="s">
        <v>1232</v>
      </c>
      <c r="BR87" s="55" t="s">
        <v>1046</v>
      </c>
      <c r="BS87" s="55" t="s">
        <v>1233</v>
      </c>
      <c r="BT87" s="55" t="s">
        <v>1234</v>
      </c>
      <c r="BU87" s="55" t="s">
        <v>1235</v>
      </c>
      <c r="BV87" s="55" t="s">
        <v>1236</v>
      </c>
      <c r="BW87" s="55" t="s">
        <v>1237</v>
      </c>
      <c r="BX87" s="26" t="s">
        <v>1238</v>
      </c>
      <c r="BY87" s="26" t="s">
        <v>1239</v>
      </c>
      <c r="BZ87" s="73" t="s">
        <v>1238</v>
      </c>
      <c r="CA87" s="26" t="s">
        <v>1240</v>
      </c>
      <c r="CB87" s="26"/>
      <c r="CC87" s="26" t="s">
        <v>1240</v>
      </c>
      <c r="CD87" s="26" t="s">
        <v>1241</v>
      </c>
      <c r="CE87" s="74" t="s">
        <v>1056</v>
      </c>
      <c r="CF87" s="73" t="s">
        <v>1242</v>
      </c>
      <c r="CG87" s="73"/>
      <c r="CH87" s="26" t="s">
        <v>1057</v>
      </c>
      <c r="CI87" s="26" t="s">
        <v>806</v>
      </c>
      <c r="CJ87" s="26" t="s">
        <v>832</v>
      </c>
      <c r="CK87" s="26" t="s">
        <v>1054</v>
      </c>
      <c r="CL87" s="74" t="s">
        <v>1240</v>
      </c>
      <c r="CM87" s="26" t="s">
        <v>1243</v>
      </c>
      <c r="CN87" s="26" t="s">
        <v>808</v>
      </c>
      <c r="CO87" s="26" t="s">
        <v>808</v>
      </c>
      <c r="CP87" s="26" t="s">
        <v>1014</v>
      </c>
      <c r="CQ87" s="26" t="s">
        <v>808</v>
      </c>
      <c r="CR87" s="26" t="s">
        <v>1014</v>
      </c>
      <c r="CS87" s="74" t="s">
        <v>1205</v>
      </c>
      <c r="CT87" s="75"/>
      <c r="CU87" s="75"/>
      <c r="CV87" s="26" t="s">
        <v>1244</v>
      </c>
      <c r="CW87" s="26" t="s">
        <v>1244</v>
      </c>
      <c r="CX87" s="26" t="s">
        <v>1245</v>
      </c>
      <c r="CY87" s="26" t="s">
        <v>1246</v>
      </c>
      <c r="CZ87" s="26" t="s">
        <v>1247</v>
      </c>
      <c r="DA87" s="26" t="s">
        <v>1247</v>
      </c>
      <c r="DB87" s="76" t="s">
        <v>862</v>
      </c>
      <c r="DC87" s="26" t="s">
        <v>832</v>
      </c>
      <c r="DD87" s="26" t="s">
        <v>806</v>
      </c>
      <c r="DE87" s="26"/>
      <c r="DF87" s="26" t="s">
        <v>862</v>
      </c>
      <c r="DG87" s="26" t="s">
        <v>832</v>
      </c>
      <c r="DH87" s="26" t="s">
        <v>806</v>
      </c>
      <c r="DI87" s="26"/>
      <c r="DJ87" s="26" t="s">
        <v>1248</v>
      </c>
      <c r="DK87" s="26"/>
      <c r="DL87" s="26" t="s">
        <v>1014</v>
      </c>
      <c r="DM87" s="26" t="s">
        <v>1014</v>
      </c>
      <c r="DN87" s="26" t="s">
        <v>1249</v>
      </c>
      <c r="DO87" s="26" t="s">
        <v>1250</v>
      </c>
      <c r="DP87" s="74" t="s">
        <v>862</v>
      </c>
      <c r="DQ87" s="26" t="s">
        <v>832</v>
      </c>
      <c r="DR87" s="26" t="s">
        <v>832</v>
      </c>
      <c r="DS87" s="26"/>
      <c r="DT87" s="26" t="s">
        <v>862</v>
      </c>
      <c r="DU87" s="26" t="s">
        <v>1251</v>
      </c>
      <c r="DV87" s="26" t="s">
        <v>836</v>
      </c>
      <c r="DW87" s="26" t="s">
        <v>1252</v>
      </c>
      <c r="DX87" s="26" t="s">
        <v>1253</v>
      </c>
      <c r="DY87" s="26" t="s">
        <v>1254</v>
      </c>
      <c r="DZ87" s="26" t="s">
        <v>1237</v>
      </c>
      <c r="EA87" s="26"/>
    </row>
    <row r="88" spans="1:131" ht="28.8" x14ac:dyDescent="0.3">
      <c r="A88" s="6" t="s">
        <v>1255</v>
      </c>
      <c r="B88" s="7">
        <v>21</v>
      </c>
      <c r="C88" s="7"/>
      <c r="D88" s="7">
        <v>18</v>
      </c>
      <c r="E88" s="7"/>
      <c r="F88" s="7"/>
      <c r="G88" s="71">
        <v>29</v>
      </c>
      <c r="H88" s="71"/>
      <c r="I88" s="13">
        <v>29</v>
      </c>
      <c r="J88" s="7"/>
      <c r="K88" s="7"/>
      <c r="L88" s="7">
        <v>22</v>
      </c>
      <c r="M88" s="13">
        <v>29</v>
      </c>
      <c r="N88" s="13">
        <v>29</v>
      </c>
      <c r="O88" s="13">
        <v>29</v>
      </c>
      <c r="P88" s="13">
        <v>29</v>
      </c>
      <c r="Q88" s="13"/>
      <c r="R88" s="10">
        <v>20</v>
      </c>
      <c r="S88" s="10">
        <v>21</v>
      </c>
      <c r="T88" s="10">
        <v>10</v>
      </c>
      <c r="U88" s="10">
        <v>21</v>
      </c>
      <c r="V88" s="10">
        <v>9</v>
      </c>
      <c r="W88" s="10">
        <v>27</v>
      </c>
      <c r="X88" s="26" t="s">
        <v>632</v>
      </c>
      <c r="Y88" s="26" t="s">
        <v>1256</v>
      </c>
      <c r="Z88" s="26" t="s">
        <v>632</v>
      </c>
      <c r="AA88" s="26" t="s">
        <v>1074</v>
      </c>
      <c r="AB88" s="26"/>
      <c r="AC88" s="26"/>
      <c r="AD88" s="26" t="s">
        <v>1257</v>
      </c>
      <c r="AE88" s="10">
        <v>21</v>
      </c>
      <c r="AF88" s="10"/>
      <c r="AG88" s="10">
        <v>12</v>
      </c>
      <c r="AH88" s="26"/>
      <c r="AI88" s="7"/>
      <c r="AJ88" s="7">
        <v>28</v>
      </c>
      <c r="AK88" s="13">
        <v>29</v>
      </c>
      <c r="AL88" s="7"/>
      <c r="AM88" s="7"/>
      <c r="AN88" s="7"/>
      <c r="AO88" s="7"/>
      <c r="AP88" s="7"/>
      <c r="AQ88" s="7"/>
      <c r="AR88" s="7"/>
      <c r="AS88" s="7"/>
      <c r="AT88" s="7"/>
      <c r="AU88" s="7"/>
      <c r="AV88" s="72">
        <v>21</v>
      </c>
      <c r="AW88" s="13"/>
      <c r="AX88" s="9"/>
      <c r="AY88" s="7">
        <v>29</v>
      </c>
      <c r="AZ88" s="7"/>
      <c r="BA88" s="12">
        <v>21</v>
      </c>
      <c r="BB88" s="7">
        <v>21</v>
      </c>
      <c r="BC88" s="10">
        <v>21</v>
      </c>
      <c r="BD88" s="10">
        <f t="shared" ref="BD88:BD92" si="4">BC83</f>
        <v>18</v>
      </c>
      <c r="BE88" s="10">
        <v>21</v>
      </c>
      <c r="BF88" s="10">
        <v>19</v>
      </c>
      <c r="BG88" s="10">
        <v>21</v>
      </c>
      <c r="BH88" s="81">
        <v>12</v>
      </c>
      <c r="BI88" s="63">
        <v>22</v>
      </c>
      <c r="BJ88" s="82">
        <v>28</v>
      </c>
      <c r="BK88" s="10">
        <v>21</v>
      </c>
      <c r="BL88" s="10">
        <v>21</v>
      </c>
      <c r="BM88" s="10">
        <v>29</v>
      </c>
      <c r="BN88" s="10">
        <v>29</v>
      </c>
      <c r="BO88" s="81">
        <v>21</v>
      </c>
      <c r="BP88" s="10">
        <v>21</v>
      </c>
      <c r="BQ88" s="10">
        <v>20</v>
      </c>
      <c r="BR88" s="10">
        <v>19</v>
      </c>
      <c r="BS88" s="10">
        <v>20</v>
      </c>
      <c r="BT88" s="10">
        <v>25</v>
      </c>
      <c r="BU88" s="10">
        <v>25</v>
      </c>
      <c r="BV88" s="10">
        <v>21</v>
      </c>
      <c r="BW88" s="10">
        <v>21</v>
      </c>
      <c r="BX88" s="26">
        <v>4</v>
      </c>
      <c r="BY88" s="26"/>
      <c r="BZ88" s="73">
        <v>29</v>
      </c>
      <c r="CA88" s="26">
        <v>21</v>
      </c>
      <c r="CB88" s="26"/>
      <c r="CC88" s="26"/>
      <c r="CD88" s="26"/>
      <c r="CE88" s="74"/>
      <c r="CF88" s="73">
        <v>29</v>
      </c>
      <c r="CG88" s="73"/>
      <c r="CH88" s="26"/>
      <c r="CI88" s="26">
        <v>21</v>
      </c>
      <c r="CJ88" s="26">
        <v>21</v>
      </c>
      <c r="CK88" s="26">
        <v>29</v>
      </c>
      <c r="CL88" s="74"/>
      <c r="CM88" s="26">
        <v>21</v>
      </c>
      <c r="CN88" s="26"/>
      <c r="CO88" s="26">
        <v>29</v>
      </c>
      <c r="CP88" s="26"/>
      <c r="CQ88" s="26"/>
      <c r="CR88" s="26"/>
      <c r="CS88" s="74">
        <v>29</v>
      </c>
      <c r="CT88" s="75"/>
      <c r="CU88" s="75"/>
      <c r="CV88" s="26"/>
      <c r="CW88" s="26"/>
      <c r="CX88" s="26" t="s">
        <v>1257</v>
      </c>
      <c r="CY88" s="26" t="s">
        <v>1258</v>
      </c>
      <c r="CZ88" s="26" t="s">
        <v>1257</v>
      </c>
      <c r="DA88" s="26" t="s">
        <v>1257</v>
      </c>
      <c r="DB88" s="76"/>
      <c r="DC88" s="26">
        <v>18</v>
      </c>
      <c r="DD88" s="26">
        <v>29</v>
      </c>
      <c r="DE88" s="26"/>
      <c r="DF88" s="26"/>
      <c r="DG88" s="26">
        <v>18</v>
      </c>
      <c r="DH88" s="26">
        <v>29</v>
      </c>
      <c r="DI88" s="26">
        <v>29</v>
      </c>
      <c r="DJ88" s="26">
        <v>21</v>
      </c>
      <c r="DK88" s="26"/>
      <c r="DL88" s="26">
        <v>29</v>
      </c>
      <c r="DM88" s="26">
        <v>25</v>
      </c>
      <c r="DN88" s="26">
        <v>27</v>
      </c>
      <c r="DO88" s="26">
        <v>27</v>
      </c>
      <c r="DP88" s="74"/>
      <c r="DQ88" s="26">
        <v>18</v>
      </c>
      <c r="DR88" s="26">
        <v>21</v>
      </c>
      <c r="DS88" s="26"/>
      <c r="DT88" s="26"/>
      <c r="DU88" s="26">
        <v>18</v>
      </c>
      <c r="DV88" s="26">
        <v>20</v>
      </c>
      <c r="DW88" s="26">
        <v>20</v>
      </c>
      <c r="DX88" s="26">
        <v>20</v>
      </c>
      <c r="DY88" s="26">
        <v>21</v>
      </c>
      <c r="DZ88" s="26">
        <v>29</v>
      </c>
      <c r="EA88" s="26"/>
    </row>
    <row r="89" spans="1:131" ht="129.6" x14ac:dyDescent="0.3">
      <c r="A89" s="6" t="s">
        <v>1259</v>
      </c>
      <c r="B89" s="13" t="s">
        <v>642</v>
      </c>
      <c r="C89" s="7"/>
      <c r="D89" s="7" t="s">
        <v>694</v>
      </c>
      <c r="E89" s="7"/>
      <c r="F89" s="7"/>
      <c r="G89" s="71" t="s">
        <v>700</v>
      </c>
      <c r="H89" s="71"/>
      <c r="I89" s="13" t="s">
        <v>668</v>
      </c>
      <c r="J89" s="7"/>
      <c r="K89" s="7"/>
      <c r="L89" s="7" t="s">
        <v>896</v>
      </c>
      <c r="M89" s="13" t="s">
        <v>668</v>
      </c>
      <c r="N89" s="13" t="s">
        <v>668</v>
      </c>
      <c r="O89" s="13" t="s">
        <v>668</v>
      </c>
      <c r="P89" s="13" t="s">
        <v>668</v>
      </c>
      <c r="Q89" s="13"/>
      <c r="R89" s="28" t="s">
        <v>1260</v>
      </c>
      <c r="S89" s="28" t="s">
        <v>1261</v>
      </c>
      <c r="T89" s="26" t="s">
        <v>1262</v>
      </c>
      <c r="U89" s="28" t="s">
        <v>1263</v>
      </c>
      <c r="V89" s="10" t="s">
        <v>645</v>
      </c>
      <c r="W89" s="28" t="s">
        <v>1264</v>
      </c>
      <c r="X89" s="26" t="s">
        <v>1265</v>
      </c>
      <c r="Y89" s="26" t="s">
        <v>1266</v>
      </c>
      <c r="Z89" s="26" t="s">
        <v>1267</v>
      </c>
      <c r="AA89" s="26" t="s">
        <v>1268</v>
      </c>
      <c r="AB89" s="26"/>
      <c r="AC89" s="26"/>
      <c r="AD89" s="26" t="s">
        <v>1269</v>
      </c>
      <c r="AE89" s="10" t="s">
        <v>1270</v>
      </c>
      <c r="AF89" s="10"/>
      <c r="AG89" s="10" t="s">
        <v>678</v>
      </c>
      <c r="AH89" s="26"/>
      <c r="AI89" s="7"/>
      <c r="AJ89" s="7" t="s">
        <v>1271</v>
      </c>
      <c r="AK89" s="13" t="s">
        <v>668</v>
      </c>
      <c r="AL89" s="7"/>
      <c r="AM89" s="7"/>
      <c r="AN89" s="7"/>
      <c r="AO89" s="7"/>
      <c r="AP89" s="7"/>
      <c r="AQ89" s="7"/>
      <c r="AR89" s="7"/>
      <c r="AS89" s="7"/>
      <c r="AT89" s="7"/>
      <c r="AU89" s="7"/>
      <c r="AV89" s="72" t="s">
        <v>642</v>
      </c>
      <c r="AW89" s="7"/>
      <c r="AX89" s="9"/>
      <c r="AY89" s="13" t="s">
        <v>700</v>
      </c>
      <c r="AZ89" s="7"/>
      <c r="BA89" s="12" t="s">
        <v>642</v>
      </c>
      <c r="BB89" s="13" t="s">
        <v>642</v>
      </c>
      <c r="BC89" s="28" t="s">
        <v>1272</v>
      </c>
      <c r="BD89" s="28" t="str">
        <f t="shared" si="4"/>
        <v xml:space="preserve">En el predio no se producen alimentos para autoconsumo </v>
      </c>
      <c r="BE89" s="28" t="s">
        <v>1273</v>
      </c>
      <c r="BF89" s="28" t="s">
        <v>1274</v>
      </c>
      <c r="BG89" s="28" t="s">
        <v>1273</v>
      </c>
      <c r="BH89" s="85" t="s">
        <v>878</v>
      </c>
      <c r="BI89" s="78" t="s">
        <v>1275</v>
      </c>
      <c r="BJ89" s="86" t="s">
        <v>1276</v>
      </c>
      <c r="BK89" s="10" t="s">
        <v>1277</v>
      </c>
      <c r="BL89" s="10" t="s">
        <v>1278</v>
      </c>
      <c r="BM89" s="10" t="s">
        <v>1279</v>
      </c>
      <c r="BN89" s="10" t="s">
        <v>890</v>
      </c>
      <c r="BO89" s="81" t="s">
        <v>1280</v>
      </c>
      <c r="BP89" s="28" t="s">
        <v>1281</v>
      </c>
      <c r="BQ89" s="28" t="s">
        <v>1282</v>
      </c>
      <c r="BR89" s="28" t="s">
        <v>1283</v>
      </c>
      <c r="BS89" s="28" t="s">
        <v>1284</v>
      </c>
      <c r="BT89" s="28" t="s">
        <v>1285</v>
      </c>
      <c r="BU89" s="28" t="s">
        <v>1285</v>
      </c>
      <c r="BV89" s="28" t="s">
        <v>1286</v>
      </c>
      <c r="BW89" s="28" t="str">
        <f t="shared" ref="BW89:BW90" si="5">BV89</f>
        <v xml:space="preserve">No cuenta con suficientes potreros para rotación </v>
      </c>
      <c r="BX89" s="26" t="s">
        <v>1287</v>
      </c>
      <c r="BY89" s="26"/>
      <c r="BZ89" s="73" t="s">
        <v>921</v>
      </c>
      <c r="CA89" s="26" t="s">
        <v>920</v>
      </c>
      <c r="CB89" s="26"/>
      <c r="CC89" s="26"/>
      <c r="CD89" s="26"/>
      <c r="CE89" s="74"/>
      <c r="CF89" s="73" t="s">
        <v>921</v>
      </c>
      <c r="CG89" s="73"/>
      <c r="CH89" s="26"/>
      <c r="CI89" s="26" t="s">
        <v>920</v>
      </c>
      <c r="CJ89" s="26" t="s">
        <v>1288</v>
      </c>
      <c r="CK89" s="26" t="s">
        <v>700</v>
      </c>
      <c r="CL89" s="74"/>
      <c r="CM89" s="26" t="s">
        <v>1263</v>
      </c>
      <c r="CN89" s="26"/>
      <c r="CO89" s="26" t="s">
        <v>668</v>
      </c>
      <c r="CP89" s="26"/>
      <c r="CQ89" s="26"/>
      <c r="CR89" s="26"/>
      <c r="CS89" s="74" t="s">
        <v>700</v>
      </c>
      <c r="CT89" s="75"/>
      <c r="CU89" s="75"/>
      <c r="CV89" s="26"/>
      <c r="CW89" s="26"/>
      <c r="CX89" s="26" t="s">
        <v>1289</v>
      </c>
      <c r="CY89" s="26" t="s">
        <v>1290</v>
      </c>
      <c r="CZ89" s="26" t="s">
        <v>1291</v>
      </c>
      <c r="DA89" s="26" t="s">
        <v>1292</v>
      </c>
      <c r="DB89" s="76"/>
      <c r="DC89" s="26" t="s">
        <v>643</v>
      </c>
      <c r="DD89" s="26" t="s">
        <v>700</v>
      </c>
      <c r="DE89" s="26"/>
      <c r="DF89" s="26"/>
      <c r="DG89" s="26" t="s">
        <v>643</v>
      </c>
      <c r="DH89" s="26" t="s">
        <v>700</v>
      </c>
      <c r="DI89" s="26"/>
      <c r="DJ89" s="26" t="s">
        <v>1293</v>
      </c>
      <c r="DK89" s="26"/>
      <c r="DL89" s="26" t="s">
        <v>668</v>
      </c>
      <c r="DM89" s="26" t="s">
        <v>895</v>
      </c>
      <c r="DN89" s="26" t="s">
        <v>1294</v>
      </c>
      <c r="DO89" s="26" t="s">
        <v>1294</v>
      </c>
      <c r="DP89" s="74"/>
      <c r="DQ89" s="26" t="s">
        <v>643</v>
      </c>
      <c r="DR89" s="26" t="s">
        <v>642</v>
      </c>
      <c r="DS89" s="26"/>
      <c r="DT89" s="26"/>
      <c r="DU89" s="26" t="s">
        <v>1295</v>
      </c>
      <c r="DV89" s="26" t="s">
        <v>1296</v>
      </c>
      <c r="DW89" s="26" t="s">
        <v>1101</v>
      </c>
      <c r="DX89" s="26" t="s">
        <v>1297</v>
      </c>
      <c r="DY89" s="26" t="s">
        <v>1275</v>
      </c>
      <c r="DZ89" s="26" t="s">
        <v>890</v>
      </c>
      <c r="EA89" s="26"/>
    </row>
    <row r="90" spans="1:131" ht="144" x14ac:dyDescent="0.3">
      <c r="A90" s="6" t="s">
        <v>1298</v>
      </c>
      <c r="B90" s="13" t="s">
        <v>706</v>
      </c>
      <c r="C90" s="7"/>
      <c r="D90" s="7" t="s">
        <v>759</v>
      </c>
      <c r="E90" s="7"/>
      <c r="F90" s="7"/>
      <c r="G90" s="71" t="s">
        <v>766</v>
      </c>
      <c r="H90" s="71"/>
      <c r="I90" s="13" t="s">
        <v>730</v>
      </c>
      <c r="J90" s="7"/>
      <c r="K90" s="7"/>
      <c r="L90" s="7" t="s">
        <v>957</v>
      </c>
      <c r="M90" s="13" t="s">
        <v>730</v>
      </c>
      <c r="N90" s="13" t="s">
        <v>730</v>
      </c>
      <c r="O90" s="13" t="s">
        <v>730</v>
      </c>
      <c r="P90" s="13" t="s">
        <v>730</v>
      </c>
      <c r="Q90" s="13"/>
      <c r="R90" s="28" t="s">
        <v>1299</v>
      </c>
      <c r="S90" s="28" t="s">
        <v>1300</v>
      </c>
      <c r="T90" s="26" t="s">
        <v>1301</v>
      </c>
      <c r="U90" s="28" t="s">
        <v>1302</v>
      </c>
      <c r="V90" s="10" t="s">
        <v>709</v>
      </c>
      <c r="W90" s="28" t="s">
        <v>1303</v>
      </c>
      <c r="X90" s="26" t="s">
        <v>1304</v>
      </c>
      <c r="Y90" s="26" t="s">
        <v>1305</v>
      </c>
      <c r="Z90" s="26" t="s">
        <v>1306</v>
      </c>
      <c r="AA90" s="26" t="s">
        <v>1307</v>
      </c>
      <c r="AB90" s="26"/>
      <c r="AC90" s="26"/>
      <c r="AD90" s="26" t="s">
        <v>1308</v>
      </c>
      <c r="AE90" s="10" t="s">
        <v>1309</v>
      </c>
      <c r="AF90" s="10"/>
      <c r="AG90" s="10" t="s">
        <v>741</v>
      </c>
      <c r="AH90" s="26"/>
      <c r="AI90" s="7"/>
      <c r="AJ90" s="7" t="s">
        <v>1310</v>
      </c>
      <c r="AK90" s="13" t="s">
        <v>730</v>
      </c>
      <c r="AL90" s="7"/>
      <c r="AM90" s="7"/>
      <c r="AN90" s="7"/>
      <c r="AO90" s="7"/>
      <c r="AP90" s="7"/>
      <c r="AQ90" s="7"/>
      <c r="AR90" s="7"/>
      <c r="AS90" s="7"/>
      <c r="AT90" s="7"/>
      <c r="AU90" s="7"/>
      <c r="AV90" s="72" t="s">
        <v>706</v>
      </c>
      <c r="AW90" s="7"/>
      <c r="AX90" s="9"/>
      <c r="AY90" s="13" t="s">
        <v>766</v>
      </c>
      <c r="AZ90" s="7"/>
      <c r="BA90" s="12" t="s">
        <v>706</v>
      </c>
      <c r="BB90" s="13" t="s">
        <v>706</v>
      </c>
      <c r="BC90" s="28" t="s">
        <v>1311</v>
      </c>
      <c r="BD90" s="28" t="str">
        <f t="shared" si="4"/>
        <v xml:space="preserve">Establecer un huerto con cultivos de pancoger.
Producción escalonada </v>
      </c>
      <c r="BE90" s="28" t="s">
        <v>1312</v>
      </c>
      <c r="BF90" s="28" t="s">
        <v>1313</v>
      </c>
      <c r="BG90" s="28" t="s">
        <v>1314</v>
      </c>
      <c r="BH90" s="85" t="s">
        <v>1315</v>
      </c>
      <c r="BI90" s="78" t="s">
        <v>1316</v>
      </c>
      <c r="BJ90" s="86" t="s">
        <v>1317</v>
      </c>
      <c r="BK90" s="10" t="s">
        <v>1309</v>
      </c>
      <c r="BL90" s="10" t="s">
        <v>1309</v>
      </c>
      <c r="BM90" s="10" t="s">
        <v>1318</v>
      </c>
      <c r="BN90" s="10" t="s">
        <v>1319</v>
      </c>
      <c r="BO90" s="81" t="s">
        <v>1309</v>
      </c>
      <c r="BP90" s="29" t="s">
        <v>1320</v>
      </c>
      <c r="BQ90" s="28" t="s">
        <v>1321</v>
      </c>
      <c r="BR90" s="28" t="s">
        <v>1322</v>
      </c>
      <c r="BS90" s="28" t="s">
        <v>1323</v>
      </c>
      <c r="BT90" s="28" t="s">
        <v>1324</v>
      </c>
      <c r="BU90" s="28" t="s">
        <v>1324</v>
      </c>
      <c r="BV90" s="28" t="s">
        <v>1325</v>
      </c>
      <c r="BW90" s="28" t="str">
        <f t="shared" si="5"/>
        <v xml:space="preserve">Realizar diseño de rotación de praderas e implementar pastoreo rotacional </v>
      </c>
      <c r="BX90" s="26" t="s">
        <v>1326</v>
      </c>
      <c r="BY90" s="26"/>
      <c r="BZ90" s="73" t="s">
        <v>766</v>
      </c>
      <c r="CA90" s="26" t="s">
        <v>1327</v>
      </c>
      <c r="CB90" s="26"/>
      <c r="CC90" s="26"/>
      <c r="CD90" s="26"/>
      <c r="CE90" s="74"/>
      <c r="CF90" s="73" t="s">
        <v>984</v>
      </c>
      <c r="CG90" s="73"/>
      <c r="CH90" s="26"/>
      <c r="CI90" s="26" t="s">
        <v>1328</v>
      </c>
      <c r="CJ90" s="26" t="s">
        <v>1329</v>
      </c>
      <c r="CK90" s="26" t="s">
        <v>766</v>
      </c>
      <c r="CL90" s="74"/>
      <c r="CM90" s="26" t="s">
        <v>1302</v>
      </c>
      <c r="CN90" s="26"/>
      <c r="CO90" s="26" t="s">
        <v>730</v>
      </c>
      <c r="CP90" s="26"/>
      <c r="CQ90" s="26"/>
      <c r="CR90" s="26"/>
      <c r="CS90" s="74" t="s">
        <v>766</v>
      </c>
      <c r="CT90" s="75"/>
      <c r="CU90" s="75"/>
      <c r="CV90" s="26"/>
      <c r="CW90" s="26"/>
      <c r="CX90" s="26" t="s">
        <v>1330</v>
      </c>
      <c r="CY90" s="26" t="s">
        <v>1331</v>
      </c>
      <c r="CZ90" s="26" t="s">
        <v>1332</v>
      </c>
      <c r="DA90" s="26" t="s">
        <v>1333</v>
      </c>
      <c r="DB90" s="76"/>
      <c r="DC90" s="26" t="s">
        <v>707</v>
      </c>
      <c r="DD90" s="26" t="s">
        <v>766</v>
      </c>
      <c r="DE90" s="26"/>
      <c r="DF90" s="26"/>
      <c r="DG90" s="26" t="s">
        <v>707</v>
      </c>
      <c r="DH90" s="26" t="s">
        <v>766</v>
      </c>
      <c r="DI90" s="26"/>
      <c r="DJ90" s="26" t="s">
        <v>1334</v>
      </c>
      <c r="DK90" s="26"/>
      <c r="DL90" s="26" t="s">
        <v>1335</v>
      </c>
      <c r="DM90" s="26" t="s">
        <v>1336</v>
      </c>
      <c r="DN90" s="26" t="s">
        <v>1337</v>
      </c>
      <c r="DO90" s="26" t="s">
        <v>1337</v>
      </c>
      <c r="DP90" s="74"/>
      <c r="DQ90" s="26" t="s">
        <v>707</v>
      </c>
      <c r="DR90" s="26" t="s">
        <v>706</v>
      </c>
      <c r="DS90" s="26"/>
      <c r="DT90" s="26"/>
      <c r="DU90" s="26" t="s">
        <v>1338</v>
      </c>
      <c r="DV90" s="26" t="s">
        <v>1339</v>
      </c>
      <c r="DW90" s="26" t="s">
        <v>1339</v>
      </c>
      <c r="DX90" s="26" t="s">
        <v>1340</v>
      </c>
      <c r="DY90" s="26" t="s">
        <v>1316</v>
      </c>
      <c r="DZ90" s="26" t="s">
        <v>1319</v>
      </c>
      <c r="EA90" s="26"/>
    </row>
    <row r="91" spans="1:131" ht="28.8" x14ac:dyDescent="0.3">
      <c r="A91" s="6" t="s">
        <v>1341</v>
      </c>
      <c r="B91" s="13" t="s">
        <v>773</v>
      </c>
      <c r="C91" s="7"/>
      <c r="D91" s="13" t="s">
        <v>798</v>
      </c>
      <c r="E91" s="7"/>
      <c r="F91" s="7"/>
      <c r="G91" s="71" t="s">
        <v>773</v>
      </c>
      <c r="H91" s="71"/>
      <c r="I91" s="13" t="s">
        <v>787</v>
      </c>
      <c r="J91" s="7"/>
      <c r="K91" s="7"/>
      <c r="L91" s="7" t="s">
        <v>788</v>
      </c>
      <c r="M91" s="13" t="s">
        <v>787</v>
      </c>
      <c r="N91" s="13" t="s">
        <v>787</v>
      </c>
      <c r="O91" s="13" t="s">
        <v>787</v>
      </c>
      <c r="P91" s="13" t="s">
        <v>787</v>
      </c>
      <c r="Q91" s="13"/>
      <c r="R91" s="28" t="s">
        <v>778</v>
      </c>
      <c r="S91" s="28" t="s">
        <v>1006</v>
      </c>
      <c r="T91" s="26" t="s">
        <v>1342</v>
      </c>
      <c r="U91" s="28" t="s">
        <v>781</v>
      </c>
      <c r="V91" s="10" t="s">
        <v>776</v>
      </c>
      <c r="W91" s="28" t="s">
        <v>1343</v>
      </c>
      <c r="X91" s="26" t="s">
        <v>1344</v>
      </c>
      <c r="Y91" s="26" t="s">
        <v>783</v>
      </c>
      <c r="Z91" s="26" t="s">
        <v>784</v>
      </c>
      <c r="AA91" s="26" t="s">
        <v>784</v>
      </c>
      <c r="AB91" s="26"/>
      <c r="AC91" s="26"/>
      <c r="AD91" s="26" t="s">
        <v>801</v>
      </c>
      <c r="AE91" s="10" t="s">
        <v>791</v>
      </c>
      <c r="AF91" s="10"/>
      <c r="AG91" s="10" t="s">
        <v>778</v>
      </c>
      <c r="AH91" s="26"/>
      <c r="AI91" s="7"/>
      <c r="AJ91" s="7" t="s">
        <v>1345</v>
      </c>
      <c r="AK91" s="13" t="s">
        <v>795</v>
      </c>
      <c r="AL91" s="7"/>
      <c r="AM91" s="7"/>
      <c r="AN91" s="7"/>
      <c r="AO91" s="7"/>
      <c r="AP91" s="7"/>
      <c r="AQ91" s="7"/>
      <c r="AR91" s="7"/>
      <c r="AS91" s="7"/>
      <c r="AT91" s="7"/>
      <c r="AU91" s="7"/>
      <c r="AV91" s="72" t="s">
        <v>773</v>
      </c>
      <c r="AW91" s="7"/>
      <c r="AX91" s="9"/>
      <c r="AY91" s="13" t="s">
        <v>773</v>
      </c>
      <c r="AZ91" s="7"/>
      <c r="BA91" s="12" t="s">
        <v>773</v>
      </c>
      <c r="BB91" s="13" t="s">
        <v>773</v>
      </c>
      <c r="BC91" s="28" t="s">
        <v>791</v>
      </c>
      <c r="BD91" s="28" t="str">
        <f t="shared" si="4"/>
        <v>1 año</v>
      </c>
      <c r="BE91" s="28" t="s">
        <v>780</v>
      </c>
      <c r="BF91" s="28" t="s">
        <v>791</v>
      </c>
      <c r="BG91" s="28" t="s">
        <v>791</v>
      </c>
      <c r="BH91" s="85" t="s">
        <v>780</v>
      </c>
      <c r="BI91" s="78" t="s">
        <v>1346</v>
      </c>
      <c r="BJ91" s="86" t="s">
        <v>778</v>
      </c>
      <c r="BK91" s="10" t="s">
        <v>791</v>
      </c>
      <c r="BL91" s="10" t="s">
        <v>791</v>
      </c>
      <c r="BM91" s="10" t="s">
        <v>778</v>
      </c>
      <c r="BN91" s="10" t="s">
        <v>778</v>
      </c>
      <c r="BO91" s="81" t="s">
        <v>791</v>
      </c>
      <c r="BP91" s="29" t="s">
        <v>778</v>
      </c>
      <c r="BQ91" s="28" t="s">
        <v>778</v>
      </c>
      <c r="BR91" s="28" t="s">
        <v>1347</v>
      </c>
      <c r="BS91" s="28" t="s">
        <v>778</v>
      </c>
      <c r="BT91" s="28" t="s">
        <v>778</v>
      </c>
      <c r="BU91" s="28" t="s">
        <v>778</v>
      </c>
      <c r="BV91" s="28" t="s">
        <v>802</v>
      </c>
      <c r="BW91" s="28" t="s">
        <v>780</v>
      </c>
      <c r="BX91" s="26" t="s">
        <v>777</v>
      </c>
      <c r="BY91" s="26"/>
      <c r="BZ91" s="73" t="s">
        <v>796</v>
      </c>
      <c r="CA91" s="26" t="s">
        <v>777</v>
      </c>
      <c r="CB91" s="87"/>
      <c r="CC91" s="26"/>
      <c r="CD91" s="26"/>
      <c r="CE91" s="26"/>
      <c r="CF91" s="84" t="s">
        <v>797</v>
      </c>
      <c r="CG91" s="7"/>
      <c r="CH91" s="26"/>
      <c r="CI91" s="26" t="s">
        <v>774</v>
      </c>
      <c r="CJ91" s="26" t="s">
        <v>774</v>
      </c>
      <c r="CK91" s="26" t="s">
        <v>773</v>
      </c>
      <c r="CL91" s="74"/>
      <c r="CM91" s="26" t="s">
        <v>781</v>
      </c>
      <c r="CN91" s="26"/>
      <c r="CO91" s="26" t="s">
        <v>787</v>
      </c>
      <c r="CP91" s="26"/>
      <c r="CQ91" s="26"/>
      <c r="CR91" s="26"/>
      <c r="CS91" s="74" t="s">
        <v>773</v>
      </c>
      <c r="CT91" s="75"/>
      <c r="CU91" s="75"/>
      <c r="CV91" s="26"/>
      <c r="CW91" s="26"/>
      <c r="CX91" s="26" t="s">
        <v>783</v>
      </c>
      <c r="CY91" s="26" t="s">
        <v>784</v>
      </c>
      <c r="CZ91" s="26" t="s">
        <v>801</v>
      </c>
      <c r="DA91" s="26" t="s">
        <v>801</v>
      </c>
      <c r="DB91" s="76"/>
      <c r="DC91" s="26" t="s">
        <v>774</v>
      </c>
      <c r="DD91" s="26" t="s">
        <v>773</v>
      </c>
      <c r="DE91" s="26"/>
      <c r="DF91" s="26"/>
      <c r="DG91" s="26" t="s">
        <v>774</v>
      </c>
      <c r="DH91" s="26" t="s">
        <v>773</v>
      </c>
      <c r="DI91" s="26"/>
      <c r="DJ91" s="26" t="s">
        <v>778</v>
      </c>
      <c r="DK91" s="26"/>
      <c r="DL91" s="26" t="s">
        <v>787</v>
      </c>
      <c r="DM91" s="26" t="s">
        <v>1203</v>
      </c>
      <c r="DN91" s="26" t="s">
        <v>788</v>
      </c>
      <c r="DO91" s="26" t="s">
        <v>788</v>
      </c>
      <c r="DP91" s="74"/>
      <c r="DQ91" s="26" t="s">
        <v>774</v>
      </c>
      <c r="DR91" s="26" t="s">
        <v>773</v>
      </c>
      <c r="DS91" s="26"/>
      <c r="DT91" s="26"/>
      <c r="DU91" s="26" t="s">
        <v>780</v>
      </c>
      <c r="DV91" s="26" t="s">
        <v>778</v>
      </c>
      <c r="DW91" s="26" t="s">
        <v>778</v>
      </c>
      <c r="DX91" s="26" t="s">
        <v>1346</v>
      </c>
      <c r="DY91" s="26" t="s">
        <v>1346</v>
      </c>
      <c r="DZ91" s="26" t="s">
        <v>780</v>
      </c>
      <c r="EA91" s="26"/>
    </row>
    <row r="92" spans="1:131" ht="158.4" x14ac:dyDescent="0.3">
      <c r="A92" s="6" t="s">
        <v>1348</v>
      </c>
      <c r="B92" s="13" t="s">
        <v>1205</v>
      </c>
      <c r="C92" s="7"/>
      <c r="D92" s="7" t="s">
        <v>857</v>
      </c>
      <c r="E92" s="7"/>
      <c r="F92" s="7"/>
      <c r="G92" s="71" t="s">
        <v>862</v>
      </c>
      <c r="H92" s="71"/>
      <c r="I92" s="41" t="s">
        <v>831</v>
      </c>
      <c r="J92" s="7"/>
      <c r="K92" s="7"/>
      <c r="L92" s="7" t="s">
        <v>1034</v>
      </c>
      <c r="M92" s="13" t="s">
        <v>831</v>
      </c>
      <c r="N92" s="13" t="s">
        <v>831</v>
      </c>
      <c r="O92" s="13" t="s">
        <v>831</v>
      </c>
      <c r="P92" s="13" t="s">
        <v>831</v>
      </c>
      <c r="Q92" s="13"/>
      <c r="R92" s="28" t="s">
        <v>1217</v>
      </c>
      <c r="S92" s="28" t="s">
        <v>1349</v>
      </c>
      <c r="T92" s="26" t="s">
        <v>1350</v>
      </c>
      <c r="U92" s="28" t="s">
        <v>1351</v>
      </c>
      <c r="V92" s="10" t="s">
        <v>808</v>
      </c>
      <c r="W92" s="28" t="s">
        <v>1352</v>
      </c>
      <c r="X92" s="26" t="s">
        <v>1353</v>
      </c>
      <c r="Y92" s="88" t="s">
        <v>1354</v>
      </c>
      <c r="Z92" s="26" t="s">
        <v>1355</v>
      </c>
      <c r="AA92" s="26" t="s">
        <v>1356</v>
      </c>
      <c r="AB92" s="26"/>
      <c r="AC92" s="26"/>
      <c r="AD92" s="26" t="s">
        <v>1357</v>
      </c>
      <c r="AE92" s="10" t="s">
        <v>1358</v>
      </c>
      <c r="AF92" s="10"/>
      <c r="AG92" s="10" t="s">
        <v>1359</v>
      </c>
      <c r="AH92" s="26"/>
      <c r="AI92" s="7"/>
      <c r="AJ92" s="7"/>
      <c r="AK92" s="13" t="s">
        <v>1240</v>
      </c>
      <c r="AL92" s="7"/>
      <c r="AM92" s="7"/>
      <c r="AN92" s="7"/>
      <c r="AO92" s="7"/>
      <c r="AP92" s="7"/>
      <c r="AQ92" s="7"/>
      <c r="AR92" s="7"/>
      <c r="AS92" s="7"/>
      <c r="AT92" s="7"/>
      <c r="AU92" s="7"/>
      <c r="AV92" s="72" t="s">
        <v>1205</v>
      </c>
      <c r="AW92" s="7"/>
      <c r="AX92" s="9"/>
      <c r="AY92" s="13" t="s">
        <v>862</v>
      </c>
      <c r="AZ92" s="7"/>
      <c r="BA92" s="12" t="s">
        <v>1205</v>
      </c>
      <c r="BB92" s="13" t="s">
        <v>1205</v>
      </c>
      <c r="BC92" s="28" t="s">
        <v>1360</v>
      </c>
      <c r="BD92" s="28" t="str">
        <f t="shared" si="4"/>
        <v>Destinar área, semillas, aislar area para siembra, (malla, postes), mano de obra, herramientas</v>
      </c>
      <c r="BE92" s="28" t="s">
        <v>1361</v>
      </c>
      <c r="BF92" s="28" t="s">
        <v>1362</v>
      </c>
      <c r="BG92" s="28" t="s">
        <v>1361</v>
      </c>
      <c r="BH92" s="85" t="s">
        <v>1363</v>
      </c>
      <c r="BI92" s="78" t="s">
        <v>1364</v>
      </c>
      <c r="BJ92" s="86" t="s">
        <v>1365</v>
      </c>
      <c r="BK92" s="10" t="s">
        <v>1366</v>
      </c>
      <c r="BL92" s="10" t="s">
        <v>1367</v>
      </c>
      <c r="BM92" s="42" t="s">
        <v>1368</v>
      </c>
      <c r="BN92" s="42" t="s">
        <v>1369</v>
      </c>
      <c r="BO92" s="81" t="s">
        <v>1358</v>
      </c>
      <c r="BP92" s="29" t="s">
        <v>1370</v>
      </c>
      <c r="BQ92" s="28" t="s">
        <v>1371</v>
      </c>
      <c r="BR92" s="28" t="s">
        <v>1372</v>
      </c>
      <c r="BS92" s="28" t="s">
        <v>1233</v>
      </c>
      <c r="BT92" s="28" t="s">
        <v>1373</v>
      </c>
      <c r="BU92" s="28" t="s">
        <v>1373</v>
      </c>
      <c r="BV92" s="28" t="s">
        <v>1374</v>
      </c>
      <c r="BW92" s="28" t="str">
        <f t="shared" ref="BW92:BW93" si="6">BV92</f>
        <v xml:space="preserve">levantamiento planimétrico, diseño de divisiones de potreros </v>
      </c>
      <c r="BX92" s="26" t="s">
        <v>1375</v>
      </c>
      <c r="BY92" s="87"/>
      <c r="BZ92" s="80" t="s">
        <v>850</v>
      </c>
      <c r="CA92" s="89" t="s">
        <v>1376</v>
      </c>
      <c r="CB92" s="75"/>
      <c r="CC92" s="87"/>
      <c r="CD92" s="87"/>
      <c r="CE92" s="26"/>
      <c r="CF92" s="73" t="s">
        <v>1056</v>
      </c>
      <c r="CG92" s="7"/>
      <c r="CH92" s="26"/>
      <c r="CI92" s="26" t="s">
        <v>1377</v>
      </c>
      <c r="CJ92" s="26" t="s">
        <v>1377</v>
      </c>
      <c r="CK92" s="26" t="s">
        <v>1240</v>
      </c>
      <c r="CL92" s="74"/>
      <c r="CM92" s="26" t="s">
        <v>1351</v>
      </c>
      <c r="CN92" s="87"/>
      <c r="CO92" s="87" t="s">
        <v>831</v>
      </c>
      <c r="CP92" s="87"/>
      <c r="CQ92" s="87"/>
      <c r="CR92" s="87"/>
      <c r="CS92" s="74" t="s">
        <v>862</v>
      </c>
      <c r="CT92" s="75"/>
      <c r="CU92" s="75"/>
      <c r="CV92" s="26"/>
      <c r="CW92" s="26"/>
      <c r="CX92" s="26" t="s">
        <v>1357</v>
      </c>
      <c r="CY92" s="26" t="s">
        <v>1378</v>
      </c>
      <c r="CZ92" s="26" t="s">
        <v>1379</v>
      </c>
      <c r="DA92" s="26" t="s">
        <v>1379</v>
      </c>
      <c r="DB92" s="76"/>
      <c r="DC92" s="26" t="s">
        <v>806</v>
      </c>
      <c r="DD92" s="26" t="s">
        <v>862</v>
      </c>
      <c r="DE92" s="26"/>
      <c r="DF92" s="26"/>
      <c r="DG92" s="26" t="s">
        <v>806</v>
      </c>
      <c r="DH92" s="26" t="s">
        <v>862</v>
      </c>
      <c r="DI92" s="26"/>
      <c r="DJ92" s="26" t="s">
        <v>1380</v>
      </c>
      <c r="DK92" s="87"/>
      <c r="DL92" s="87" t="s">
        <v>1381</v>
      </c>
      <c r="DM92" s="87" t="s">
        <v>1382</v>
      </c>
      <c r="DN92" s="87" t="s">
        <v>1383</v>
      </c>
      <c r="DO92" s="87" t="s">
        <v>1383</v>
      </c>
      <c r="DP92" s="74"/>
      <c r="DQ92" s="26" t="s">
        <v>806</v>
      </c>
      <c r="DR92" s="26" t="s">
        <v>1205</v>
      </c>
      <c r="DS92" s="26"/>
      <c r="DT92" s="26"/>
      <c r="DU92" s="26" t="s">
        <v>1384</v>
      </c>
      <c r="DV92" s="26" t="s">
        <v>1217</v>
      </c>
      <c r="DW92" s="26" t="s">
        <v>1385</v>
      </c>
      <c r="DX92" s="26" t="s">
        <v>1386</v>
      </c>
      <c r="DY92" s="26" t="s">
        <v>1364</v>
      </c>
      <c r="DZ92" s="26" t="s">
        <v>1369</v>
      </c>
      <c r="EA92" s="26"/>
    </row>
    <row r="93" spans="1:131" x14ac:dyDescent="0.3">
      <c r="A93" s="6" t="s">
        <v>1387</v>
      </c>
      <c r="B93" s="71">
        <v>29</v>
      </c>
      <c r="C93" s="7"/>
      <c r="D93" s="71">
        <v>29</v>
      </c>
      <c r="E93" s="7"/>
      <c r="F93" s="7"/>
      <c r="G93" s="7"/>
      <c r="H93" s="12"/>
      <c r="I93" s="7"/>
      <c r="J93" s="7"/>
      <c r="K93" s="7"/>
      <c r="L93" s="7"/>
      <c r="M93" s="7"/>
      <c r="N93" s="7"/>
      <c r="O93" s="7"/>
      <c r="P93" s="7"/>
      <c r="Q93" s="7"/>
      <c r="R93" s="26">
        <v>21</v>
      </c>
      <c r="S93" s="26">
        <v>29</v>
      </c>
      <c r="T93" s="26">
        <v>20</v>
      </c>
      <c r="U93" s="26">
        <v>25</v>
      </c>
      <c r="V93" s="10" t="s">
        <v>1388</v>
      </c>
      <c r="W93" s="26">
        <v>29</v>
      </c>
      <c r="X93" s="26"/>
      <c r="Y93" s="26"/>
      <c r="Z93" s="26"/>
      <c r="AA93" s="26"/>
      <c r="AB93" s="26"/>
      <c r="AC93" s="26"/>
      <c r="AD93" s="26"/>
      <c r="AE93" s="10">
        <v>9</v>
      </c>
      <c r="AF93" s="10"/>
      <c r="AG93" s="10">
        <v>20</v>
      </c>
      <c r="AH93" s="26"/>
      <c r="AI93" s="7"/>
      <c r="AJ93" s="7"/>
      <c r="AK93" s="13"/>
      <c r="AL93" s="7"/>
      <c r="AM93" s="7"/>
      <c r="AN93" s="7"/>
      <c r="AO93" s="7"/>
      <c r="AP93" s="7"/>
      <c r="AQ93" s="7"/>
      <c r="AR93" s="7"/>
      <c r="AS93" s="7"/>
      <c r="AT93" s="7"/>
      <c r="AU93" s="7"/>
      <c r="AV93" s="72">
        <v>22</v>
      </c>
      <c r="AW93" s="7"/>
      <c r="AX93" s="9"/>
      <c r="AY93" s="13"/>
      <c r="AZ93" s="7"/>
      <c r="BA93" s="12">
        <v>29</v>
      </c>
      <c r="BB93" s="71">
        <v>29</v>
      </c>
      <c r="BC93" s="26">
        <v>29</v>
      </c>
      <c r="BD93" s="26">
        <f>BC93</f>
        <v>29</v>
      </c>
      <c r="BE93" s="26">
        <v>27</v>
      </c>
      <c r="BF93" s="26">
        <v>20</v>
      </c>
      <c r="BG93" s="26">
        <v>29</v>
      </c>
      <c r="BH93" s="74">
        <v>21</v>
      </c>
      <c r="BI93" s="90">
        <v>30</v>
      </c>
      <c r="BJ93" s="76">
        <v>29</v>
      </c>
      <c r="BK93" s="10">
        <v>29</v>
      </c>
      <c r="BL93" s="81">
        <v>29</v>
      </c>
      <c r="BM93" s="91"/>
      <c r="BN93" s="75"/>
      <c r="BO93" s="81">
        <v>29</v>
      </c>
      <c r="BP93" s="26">
        <v>29</v>
      </c>
      <c r="BQ93" s="26">
        <v>21</v>
      </c>
      <c r="BR93" s="26">
        <v>29</v>
      </c>
      <c r="BS93" s="26">
        <v>29</v>
      </c>
      <c r="BT93" s="26">
        <v>29</v>
      </c>
      <c r="BU93" s="26">
        <v>29</v>
      </c>
      <c r="BV93" s="26">
        <v>29</v>
      </c>
      <c r="BW93" s="26">
        <f t="shared" si="6"/>
        <v>29</v>
      </c>
      <c r="BX93" s="74"/>
      <c r="BY93" s="75"/>
      <c r="BZ93" s="91"/>
      <c r="CA93" s="91"/>
      <c r="CB93" s="75"/>
      <c r="CC93" s="91"/>
      <c r="CD93" s="75"/>
      <c r="CE93" s="26"/>
      <c r="CF93" s="73"/>
      <c r="CG93" s="71"/>
      <c r="CH93" s="26"/>
      <c r="CI93" s="26">
        <v>29</v>
      </c>
      <c r="CJ93" s="26">
        <v>29</v>
      </c>
      <c r="CK93" s="26"/>
      <c r="CL93" s="74"/>
      <c r="CM93" s="74">
        <v>25</v>
      </c>
      <c r="CN93" s="75"/>
      <c r="CO93" s="75"/>
      <c r="CP93" s="75"/>
      <c r="CQ93" s="75"/>
      <c r="CR93" s="75"/>
      <c r="CS93" s="74"/>
      <c r="CT93" s="75"/>
      <c r="CU93" s="75"/>
      <c r="CV93" s="26"/>
      <c r="CW93" s="26"/>
      <c r="CX93" s="26"/>
      <c r="CY93" s="26"/>
      <c r="CZ93" s="26"/>
      <c r="DA93" s="26"/>
      <c r="DB93" s="76"/>
      <c r="DC93" s="26">
        <v>29</v>
      </c>
      <c r="DD93" s="26"/>
      <c r="DE93" s="26"/>
      <c r="DF93" s="26"/>
      <c r="DG93" s="26"/>
      <c r="DH93" s="26"/>
      <c r="DI93" s="28"/>
      <c r="DJ93" s="74">
        <v>29</v>
      </c>
      <c r="DK93" s="28"/>
      <c r="DL93" s="85"/>
      <c r="DM93" s="85"/>
      <c r="DN93" s="91"/>
      <c r="DO93" s="75"/>
      <c r="DP93" s="74"/>
      <c r="DQ93" s="26">
        <v>21</v>
      </c>
      <c r="DR93" s="26">
        <v>27</v>
      </c>
      <c r="DS93" s="26"/>
      <c r="DT93" s="26"/>
      <c r="DU93" s="26">
        <v>29</v>
      </c>
      <c r="DV93" s="26">
        <v>29</v>
      </c>
      <c r="DW93" s="26">
        <v>21</v>
      </c>
      <c r="DX93" s="26">
        <v>28</v>
      </c>
      <c r="DY93" s="26">
        <v>29</v>
      </c>
      <c r="DZ93" s="26"/>
      <c r="EA93" s="26"/>
    </row>
    <row r="94" spans="1:131" ht="115.2" x14ac:dyDescent="0.3">
      <c r="A94" s="6" t="s">
        <v>1389</v>
      </c>
      <c r="B94" s="71" t="s">
        <v>700</v>
      </c>
      <c r="C94" s="7"/>
      <c r="D94" s="71" t="s">
        <v>700</v>
      </c>
      <c r="E94" s="7"/>
      <c r="F94" s="7"/>
      <c r="G94" s="7"/>
      <c r="H94" s="12"/>
      <c r="I94" s="7"/>
      <c r="J94" s="7"/>
      <c r="K94" s="41"/>
      <c r="L94" s="41"/>
      <c r="M94" s="41"/>
      <c r="N94" s="7"/>
      <c r="O94" s="7"/>
      <c r="P94" s="7"/>
      <c r="Q94" s="7"/>
      <c r="R94" s="55" t="s">
        <v>1390</v>
      </c>
      <c r="S94" s="55" t="s">
        <v>1391</v>
      </c>
      <c r="T94" s="26" t="s">
        <v>1392</v>
      </c>
      <c r="U94" s="55" t="s">
        <v>1393</v>
      </c>
      <c r="V94" s="10" t="s">
        <v>1394</v>
      </c>
      <c r="W94" s="55" t="s">
        <v>1395</v>
      </c>
      <c r="X94" s="26"/>
      <c r="Y94" s="26"/>
      <c r="Z94" s="26"/>
      <c r="AA94" s="26"/>
      <c r="AB94" s="26"/>
      <c r="AC94" s="26"/>
      <c r="AD94" s="26"/>
      <c r="AE94" s="10" t="s">
        <v>1396</v>
      </c>
      <c r="AF94" s="10"/>
      <c r="AG94" s="10" t="s">
        <v>1091</v>
      </c>
      <c r="AH94" s="26"/>
      <c r="AI94" s="7"/>
      <c r="AJ94" s="7"/>
      <c r="AK94" s="13"/>
      <c r="AL94" s="7"/>
      <c r="AM94" s="7"/>
      <c r="AN94" s="7"/>
      <c r="AO94" s="7"/>
      <c r="AP94" s="7"/>
      <c r="AQ94" s="7"/>
      <c r="AR94" s="7"/>
      <c r="AS94" s="7"/>
      <c r="AT94" s="7"/>
      <c r="AU94" s="7"/>
      <c r="AV94" s="72" t="s">
        <v>1397</v>
      </c>
      <c r="AW94" s="7"/>
      <c r="AX94" s="9"/>
      <c r="AY94" s="13"/>
      <c r="AZ94" s="7"/>
      <c r="BA94" s="12" t="s">
        <v>700</v>
      </c>
      <c r="BB94" s="71" t="s">
        <v>700</v>
      </c>
      <c r="BC94" s="55" t="str">
        <f t="shared" ref="BC94:BD97" si="7">BB94</f>
        <v>NO SE LLEVA REGISTROS</v>
      </c>
      <c r="BD94" s="55" t="str">
        <f t="shared" si="7"/>
        <v>NO SE LLEVA REGISTROS</v>
      </c>
      <c r="BE94" s="55" t="s">
        <v>1398</v>
      </c>
      <c r="BF94" s="55" t="s">
        <v>1296</v>
      </c>
      <c r="BG94" s="55" t="s">
        <v>1399</v>
      </c>
      <c r="BH94" s="77" t="s">
        <v>1273</v>
      </c>
      <c r="BI94" s="78" t="s">
        <v>1400</v>
      </c>
      <c r="BJ94" s="79" t="s">
        <v>1401</v>
      </c>
      <c r="BK94" s="10" t="s">
        <v>1279</v>
      </c>
      <c r="BL94" s="81" t="s">
        <v>1279</v>
      </c>
      <c r="BM94" s="91"/>
      <c r="BN94" s="75"/>
      <c r="BO94" s="81" t="s">
        <v>890</v>
      </c>
      <c r="BP94" s="55" t="s">
        <v>1402</v>
      </c>
      <c r="BQ94" s="55" t="s">
        <v>1403</v>
      </c>
      <c r="BR94" s="55" t="s">
        <v>1404</v>
      </c>
      <c r="BS94" s="55" t="s">
        <v>1402</v>
      </c>
      <c r="BT94" s="55" t="s">
        <v>1279</v>
      </c>
      <c r="BU94" s="55" t="s">
        <v>1279</v>
      </c>
      <c r="BV94" s="55" t="str">
        <f t="shared" ref="BV94:BW97" si="8">BU94</f>
        <v>Ausencia de registros técnicos y reproductivos</v>
      </c>
      <c r="BW94" s="55" t="str">
        <f t="shared" si="8"/>
        <v>Ausencia de registros técnicos y reproductivos</v>
      </c>
      <c r="BX94" s="89" t="s">
        <v>1405</v>
      </c>
      <c r="BY94" s="75"/>
      <c r="BZ94" s="91"/>
      <c r="CA94" s="91"/>
      <c r="CB94" s="75"/>
      <c r="CC94" s="91"/>
      <c r="CD94" s="75"/>
      <c r="CE94" s="26"/>
      <c r="CF94" s="73"/>
      <c r="CG94" s="71"/>
      <c r="CH94" s="26"/>
      <c r="CI94" s="26" t="s">
        <v>921</v>
      </c>
      <c r="CJ94" s="26" t="s">
        <v>700</v>
      </c>
      <c r="CK94" s="26"/>
      <c r="CL94" s="74"/>
      <c r="CM94" s="74" t="s">
        <v>1393</v>
      </c>
      <c r="CN94" s="75"/>
      <c r="CO94" s="75"/>
      <c r="CP94" s="75"/>
      <c r="CQ94" s="75"/>
      <c r="CR94" s="75"/>
      <c r="CS94" s="74"/>
      <c r="CT94" s="75"/>
      <c r="CU94" s="75"/>
      <c r="CV94" s="26"/>
      <c r="CW94" s="26"/>
      <c r="CX94" s="26"/>
      <c r="CY94" s="26"/>
      <c r="CZ94" s="26"/>
      <c r="DA94" s="26"/>
      <c r="DB94" s="76"/>
      <c r="DC94" s="26" t="s">
        <v>700</v>
      </c>
      <c r="DD94" s="26"/>
      <c r="DE94" s="26"/>
      <c r="DF94" s="26"/>
      <c r="DG94" s="26"/>
      <c r="DH94" s="26"/>
      <c r="DI94" s="28"/>
      <c r="DJ94" s="74" t="s">
        <v>890</v>
      </c>
      <c r="DK94" s="28"/>
      <c r="DL94" s="85"/>
      <c r="DM94" s="85"/>
      <c r="DN94" s="91"/>
      <c r="DO94" s="75"/>
      <c r="DP94" s="74"/>
      <c r="DQ94" s="26" t="s">
        <v>642</v>
      </c>
      <c r="DR94" s="26" t="s">
        <v>919</v>
      </c>
      <c r="DS94" s="26"/>
      <c r="DT94" s="26"/>
      <c r="DU94" s="26"/>
      <c r="DV94" s="26" t="s">
        <v>1400</v>
      </c>
      <c r="DW94" s="26" t="s">
        <v>1406</v>
      </c>
      <c r="DX94" s="26" t="s">
        <v>1400</v>
      </c>
      <c r="DY94" s="26" t="s">
        <v>1399</v>
      </c>
      <c r="DZ94" s="26"/>
      <c r="EA94" s="26"/>
    </row>
    <row r="95" spans="1:131" ht="144" x14ac:dyDescent="0.3">
      <c r="A95" s="6" t="s">
        <v>1407</v>
      </c>
      <c r="B95" s="71" t="s">
        <v>766</v>
      </c>
      <c r="C95" s="7"/>
      <c r="D95" s="71" t="s">
        <v>766</v>
      </c>
      <c r="E95" s="7"/>
      <c r="F95" s="7"/>
      <c r="G95" s="7"/>
      <c r="H95" s="12"/>
      <c r="I95" s="75"/>
      <c r="J95" s="12"/>
      <c r="K95" s="75"/>
      <c r="L95" s="75"/>
      <c r="M95" s="75"/>
      <c r="N95" s="7"/>
      <c r="O95" s="7"/>
      <c r="P95" s="7"/>
      <c r="Q95" s="7"/>
      <c r="R95" s="55" t="s">
        <v>1408</v>
      </c>
      <c r="S95" s="55" t="s">
        <v>1409</v>
      </c>
      <c r="T95" s="26" t="s">
        <v>1410</v>
      </c>
      <c r="U95" s="55" t="s">
        <v>1411</v>
      </c>
      <c r="V95" s="26"/>
      <c r="W95" s="55" t="s">
        <v>1412</v>
      </c>
      <c r="X95" s="26"/>
      <c r="Y95" s="26"/>
      <c r="Z95" s="26"/>
      <c r="AA95" s="26"/>
      <c r="AB95" s="26"/>
      <c r="AC95" s="26"/>
      <c r="AD95" s="26"/>
      <c r="AE95" s="10" t="s">
        <v>1413</v>
      </c>
      <c r="AF95" s="10"/>
      <c r="AG95" s="10" t="s">
        <v>1414</v>
      </c>
      <c r="AH95" s="26"/>
      <c r="AI95" s="7"/>
      <c r="AJ95" s="7"/>
      <c r="AK95" s="13"/>
      <c r="AL95" s="7"/>
      <c r="AM95" s="7"/>
      <c r="AN95" s="7"/>
      <c r="AO95" s="7"/>
      <c r="AP95" s="7"/>
      <c r="AQ95" s="7"/>
      <c r="AR95" s="7"/>
      <c r="AS95" s="7"/>
      <c r="AT95" s="7"/>
      <c r="AU95" s="7"/>
      <c r="AV95" s="72" t="s">
        <v>1415</v>
      </c>
      <c r="AW95" s="7"/>
      <c r="AX95" s="9"/>
      <c r="AY95" s="13"/>
      <c r="AZ95" s="7"/>
      <c r="BA95" s="12" t="s">
        <v>766</v>
      </c>
      <c r="BB95" s="71" t="s">
        <v>766</v>
      </c>
      <c r="BC95" s="55" t="str">
        <f t="shared" si="7"/>
        <v>REGISTRAR INFORMACION</v>
      </c>
      <c r="BD95" s="55" t="str">
        <f t="shared" si="7"/>
        <v>REGISTRAR INFORMACION</v>
      </c>
      <c r="BE95" s="55" t="s">
        <v>1416</v>
      </c>
      <c r="BF95" s="55" t="s">
        <v>1155</v>
      </c>
      <c r="BG95" s="55" t="s">
        <v>1417</v>
      </c>
      <c r="BH95" s="77" t="s">
        <v>1418</v>
      </c>
      <c r="BI95" s="78" t="s">
        <v>1419</v>
      </c>
      <c r="BJ95" s="79" t="s">
        <v>1420</v>
      </c>
      <c r="BK95" s="10" t="s">
        <v>1318</v>
      </c>
      <c r="BL95" s="81" t="s">
        <v>1421</v>
      </c>
      <c r="BM95" s="91"/>
      <c r="BN95" s="75"/>
      <c r="BO95" s="81" t="s">
        <v>1319</v>
      </c>
      <c r="BP95" s="55" t="s">
        <v>1422</v>
      </c>
      <c r="BQ95" s="55" t="s">
        <v>1423</v>
      </c>
      <c r="BR95" s="55" t="s">
        <v>1424</v>
      </c>
      <c r="BS95" s="55" t="s">
        <v>1425</v>
      </c>
      <c r="BT95" s="55" t="s">
        <v>1318</v>
      </c>
      <c r="BU95" s="55" t="s">
        <v>1318</v>
      </c>
      <c r="BV95" s="55" t="str">
        <f t="shared" si="8"/>
        <v xml:space="preserve">Implementar modelo de registros técnicos y reproductivos </v>
      </c>
      <c r="BW95" s="77" t="str">
        <f t="shared" si="8"/>
        <v xml:space="preserve">Implementar modelo de registros técnicos y reproductivos </v>
      </c>
      <c r="BX95" s="91"/>
      <c r="BY95" s="75"/>
      <c r="BZ95" s="91"/>
      <c r="CA95" s="91"/>
      <c r="CB95" s="75"/>
      <c r="CC95" s="91"/>
      <c r="CD95" s="75"/>
      <c r="CE95" s="26"/>
      <c r="CF95" s="73"/>
      <c r="CG95" s="71"/>
      <c r="CH95" s="26"/>
      <c r="CI95" s="26" t="s">
        <v>766</v>
      </c>
      <c r="CJ95" s="26" t="s">
        <v>766</v>
      </c>
      <c r="CK95" s="26"/>
      <c r="CL95" s="26"/>
      <c r="CM95" s="92" t="s">
        <v>1411</v>
      </c>
      <c r="CN95" s="75"/>
      <c r="CO95" s="75"/>
      <c r="CP95" s="75"/>
      <c r="CQ95" s="75"/>
      <c r="CR95" s="75"/>
      <c r="CS95" s="74"/>
      <c r="CT95" s="75"/>
      <c r="CU95" s="75"/>
      <c r="CV95" s="26"/>
      <c r="CW95" s="26"/>
      <c r="CX95" s="26"/>
      <c r="CY95" s="26"/>
      <c r="CZ95" s="26"/>
      <c r="DA95" s="26"/>
      <c r="DB95" s="76"/>
      <c r="DC95" s="26" t="s">
        <v>766</v>
      </c>
      <c r="DD95" s="26"/>
      <c r="DE95" s="26"/>
      <c r="DF95" s="26"/>
      <c r="DG95" s="26"/>
      <c r="DH95" s="87"/>
      <c r="DI95" s="28"/>
      <c r="DJ95" s="74" t="s">
        <v>1319</v>
      </c>
      <c r="DK95" s="28"/>
      <c r="DL95" s="85"/>
      <c r="DM95" s="85"/>
      <c r="DN95" s="91"/>
      <c r="DO95" s="75"/>
      <c r="DP95" s="74"/>
      <c r="DQ95" s="26" t="s">
        <v>706</v>
      </c>
      <c r="DR95" s="26" t="s">
        <v>982</v>
      </c>
      <c r="DS95" s="26"/>
      <c r="DT95" s="26"/>
      <c r="DU95" s="26"/>
      <c r="DV95" s="26" t="s">
        <v>1426</v>
      </c>
      <c r="DW95" s="26" t="s">
        <v>1316</v>
      </c>
      <c r="DX95" s="26" t="s">
        <v>1427</v>
      </c>
      <c r="DY95" s="26" t="s">
        <v>1419</v>
      </c>
      <c r="DZ95" s="26"/>
      <c r="EA95" s="26"/>
    </row>
    <row r="96" spans="1:131" ht="43.2" x14ac:dyDescent="0.3">
      <c r="A96" s="6" t="s">
        <v>1428</v>
      </c>
      <c r="B96" s="71" t="s">
        <v>773</v>
      </c>
      <c r="C96" s="7"/>
      <c r="D96" s="71" t="s">
        <v>773</v>
      </c>
      <c r="E96" s="7"/>
      <c r="F96" s="7"/>
      <c r="G96" s="7"/>
      <c r="H96" s="12"/>
      <c r="I96" s="75"/>
      <c r="J96" s="12"/>
      <c r="K96" s="75"/>
      <c r="L96" s="75"/>
      <c r="M96" s="75"/>
      <c r="N96" s="7"/>
      <c r="O96" s="7"/>
      <c r="P96" s="7"/>
      <c r="Q96" s="41"/>
      <c r="R96" s="55" t="s">
        <v>1006</v>
      </c>
      <c r="S96" s="55" t="s">
        <v>1429</v>
      </c>
      <c r="T96" s="26" t="s">
        <v>1003</v>
      </c>
      <c r="U96" s="55" t="s">
        <v>1430</v>
      </c>
      <c r="V96" s="26"/>
      <c r="W96" s="55" t="s">
        <v>1343</v>
      </c>
      <c r="X96" s="26"/>
      <c r="Y96" s="26"/>
      <c r="Z96" s="26"/>
      <c r="AA96" s="26"/>
      <c r="AB96" s="26"/>
      <c r="AC96" s="26"/>
      <c r="AD96" s="87"/>
      <c r="AE96" s="10" t="s">
        <v>791</v>
      </c>
      <c r="AF96" s="10"/>
      <c r="AG96" s="10" t="s">
        <v>1431</v>
      </c>
      <c r="AH96" s="26"/>
      <c r="AI96" s="7"/>
      <c r="AJ96" s="7"/>
      <c r="AK96" s="13"/>
      <c r="AL96" s="7"/>
      <c r="AM96" s="7"/>
      <c r="AN96" s="7"/>
      <c r="AO96" s="7"/>
      <c r="AP96" s="7"/>
      <c r="AQ96" s="7"/>
      <c r="AR96" s="7"/>
      <c r="AS96" s="7"/>
      <c r="AT96" s="7"/>
      <c r="AU96" s="7"/>
      <c r="AV96" s="72" t="s">
        <v>773</v>
      </c>
      <c r="AW96" s="7"/>
      <c r="AX96" s="9"/>
      <c r="AY96" s="13"/>
      <c r="AZ96" s="7"/>
      <c r="BA96" s="12" t="s">
        <v>773</v>
      </c>
      <c r="BB96" s="71" t="s">
        <v>773</v>
      </c>
      <c r="BC96" s="55" t="str">
        <f t="shared" si="7"/>
        <v xml:space="preserve">&lt;6MESES </v>
      </c>
      <c r="BD96" s="55" t="str">
        <f t="shared" si="7"/>
        <v xml:space="preserve">&lt;6MESES </v>
      </c>
      <c r="BE96" s="55" t="s">
        <v>778</v>
      </c>
      <c r="BF96" s="55" t="s">
        <v>778</v>
      </c>
      <c r="BG96" s="55" t="s">
        <v>778</v>
      </c>
      <c r="BH96" s="77" t="s">
        <v>791</v>
      </c>
      <c r="BI96" s="78" t="s">
        <v>794</v>
      </c>
      <c r="BJ96" s="79" t="s">
        <v>778</v>
      </c>
      <c r="BK96" s="10" t="s">
        <v>778</v>
      </c>
      <c r="BL96" s="81" t="s">
        <v>778</v>
      </c>
      <c r="BM96" s="91"/>
      <c r="BN96" s="75"/>
      <c r="BO96" s="81" t="s">
        <v>778</v>
      </c>
      <c r="BP96" s="55" t="s">
        <v>1432</v>
      </c>
      <c r="BQ96" s="55" t="s">
        <v>778</v>
      </c>
      <c r="BR96" s="55" t="s">
        <v>1433</v>
      </c>
      <c r="BS96" s="55" t="s">
        <v>778</v>
      </c>
      <c r="BT96" s="55" t="s">
        <v>778</v>
      </c>
      <c r="BU96" s="55" t="s">
        <v>778</v>
      </c>
      <c r="BV96" s="55" t="str">
        <f t="shared" si="8"/>
        <v>6 meses</v>
      </c>
      <c r="BW96" s="77" t="str">
        <f t="shared" si="8"/>
        <v>6 meses</v>
      </c>
      <c r="BX96" s="91"/>
      <c r="BY96" s="75"/>
      <c r="BZ96" s="91"/>
      <c r="CA96" s="91"/>
      <c r="CB96" s="75"/>
      <c r="CC96" s="91"/>
      <c r="CD96" s="75"/>
      <c r="CE96" s="26"/>
      <c r="CF96" s="73"/>
      <c r="CG96" s="71"/>
      <c r="CH96" s="26"/>
      <c r="CI96" s="26" t="s">
        <v>773</v>
      </c>
      <c r="CJ96" s="26" t="s">
        <v>773</v>
      </c>
      <c r="CK96" s="26"/>
      <c r="CL96" s="26"/>
      <c r="CM96" s="74" t="s">
        <v>1430</v>
      </c>
      <c r="CN96" s="75"/>
      <c r="CO96" s="75"/>
      <c r="CP96" s="75"/>
      <c r="CQ96" s="75"/>
      <c r="CR96" s="75"/>
      <c r="CS96" s="74"/>
      <c r="CT96" s="75"/>
      <c r="CU96" s="75"/>
      <c r="CV96" s="26"/>
      <c r="CW96" s="26"/>
      <c r="CX96" s="26"/>
      <c r="CY96" s="26"/>
      <c r="CZ96" s="26"/>
      <c r="DA96" s="26"/>
      <c r="DB96" s="76"/>
      <c r="DC96" s="26" t="s">
        <v>773</v>
      </c>
      <c r="DD96" s="26"/>
      <c r="DE96" s="26"/>
      <c r="DF96" s="26"/>
      <c r="DG96" s="74"/>
      <c r="DH96" s="28"/>
      <c r="DI96" s="28"/>
      <c r="DJ96" s="74" t="s">
        <v>1431</v>
      </c>
      <c r="DK96" s="28"/>
      <c r="DL96" s="85"/>
      <c r="DM96" s="85"/>
      <c r="DN96" s="91"/>
      <c r="DO96" s="75"/>
      <c r="DP96" s="74"/>
      <c r="DQ96" s="26" t="s">
        <v>773</v>
      </c>
      <c r="DR96" s="26" t="s">
        <v>1010</v>
      </c>
      <c r="DS96" s="26"/>
      <c r="DT96" s="26"/>
      <c r="DU96" s="26"/>
      <c r="DV96" s="26" t="s">
        <v>778</v>
      </c>
      <c r="DW96" s="26" t="s">
        <v>780</v>
      </c>
      <c r="DX96" s="26" t="s">
        <v>1434</v>
      </c>
      <c r="DY96" s="26" t="s">
        <v>778</v>
      </c>
      <c r="DZ96" s="26"/>
      <c r="EA96" s="26"/>
    </row>
    <row r="97" spans="1:131" ht="144" x14ac:dyDescent="0.3">
      <c r="A97" s="6" t="s">
        <v>1435</v>
      </c>
      <c r="B97" s="71" t="s">
        <v>862</v>
      </c>
      <c r="C97" s="7"/>
      <c r="D97" s="71" t="s">
        <v>862</v>
      </c>
      <c r="E97" s="7"/>
      <c r="F97" s="7"/>
      <c r="G97" s="7"/>
      <c r="H97" s="12"/>
      <c r="I97" s="75"/>
      <c r="J97" s="12"/>
      <c r="K97" s="75"/>
      <c r="L97" s="75"/>
      <c r="M97" s="75"/>
      <c r="N97" s="41"/>
      <c r="O97" s="7"/>
      <c r="P97" s="12"/>
      <c r="Q97" s="75"/>
      <c r="R97" s="93" t="s">
        <v>1349</v>
      </c>
      <c r="S97" s="93" t="s">
        <v>1436</v>
      </c>
      <c r="T97" s="87" t="s">
        <v>1437</v>
      </c>
      <c r="U97" s="55" t="s">
        <v>1438</v>
      </c>
      <c r="V97" s="26"/>
      <c r="W97" s="93" t="s">
        <v>1439</v>
      </c>
      <c r="X97" s="87"/>
      <c r="Y97" s="87"/>
      <c r="Z97" s="87"/>
      <c r="AA97" s="87"/>
      <c r="AB97" s="87"/>
      <c r="AC97" s="89"/>
      <c r="AD97" s="26"/>
      <c r="AE97" s="42" t="s">
        <v>1440</v>
      </c>
      <c r="AF97" s="10"/>
      <c r="AG97" s="10" t="s">
        <v>1441</v>
      </c>
      <c r="AH97" s="26"/>
      <c r="AI97" s="7"/>
      <c r="AJ97" s="7"/>
      <c r="AK97" s="13"/>
      <c r="AL97" s="7"/>
      <c r="AM97" s="7"/>
      <c r="AN97" s="7"/>
      <c r="AO97" s="7"/>
      <c r="AP97" s="7"/>
      <c r="AQ97" s="7"/>
      <c r="AR97" s="7"/>
      <c r="AS97" s="7"/>
      <c r="AT97" s="7"/>
      <c r="AU97" s="7"/>
      <c r="AV97" s="72" t="s">
        <v>1442</v>
      </c>
      <c r="AW97" s="7"/>
      <c r="AX97" s="9"/>
      <c r="AY97" s="13"/>
      <c r="AZ97" s="7"/>
      <c r="BA97" s="70" t="s">
        <v>862</v>
      </c>
      <c r="BB97" s="71" t="s">
        <v>862</v>
      </c>
      <c r="BC97" s="55" t="str">
        <f t="shared" si="7"/>
        <v>FORMATO DE REGISTRO,CAPACITACION</v>
      </c>
      <c r="BD97" s="55" t="str">
        <f t="shared" si="7"/>
        <v>FORMATO DE REGISTRO,CAPACITACION</v>
      </c>
      <c r="BE97" s="55" t="s">
        <v>1443</v>
      </c>
      <c r="BF97" s="55" t="s">
        <v>1225</v>
      </c>
      <c r="BG97" s="55" t="s">
        <v>1444</v>
      </c>
      <c r="BH97" s="77" t="s">
        <v>1445</v>
      </c>
      <c r="BI97" s="78" t="s">
        <v>1446</v>
      </c>
      <c r="BJ97" s="79" t="s">
        <v>1436</v>
      </c>
      <c r="BK97" s="10" t="s">
        <v>1368</v>
      </c>
      <c r="BL97" s="81" t="s">
        <v>1447</v>
      </c>
      <c r="BM97" s="91"/>
      <c r="BN97" s="75"/>
      <c r="BO97" s="81" t="s">
        <v>1369</v>
      </c>
      <c r="BP97" s="55" t="s">
        <v>1448</v>
      </c>
      <c r="BQ97" s="55" t="s">
        <v>1449</v>
      </c>
      <c r="BR97" s="55" t="s">
        <v>1450</v>
      </c>
      <c r="BS97" s="55" t="s">
        <v>1451</v>
      </c>
      <c r="BT97" s="55" t="s">
        <v>1368</v>
      </c>
      <c r="BU97" s="55" t="s">
        <v>1368</v>
      </c>
      <c r="BV97" s="55" t="str">
        <f t="shared" si="8"/>
        <v xml:space="preserve">Formato de registros técnicos y reproductivos y capacitaciones </v>
      </c>
      <c r="BW97" s="77" t="str">
        <f t="shared" si="8"/>
        <v xml:space="preserve">Formato de registros técnicos y reproductivos y capacitaciones </v>
      </c>
      <c r="BX97" s="91"/>
      <c r="BY97" s="75"/>
      <c r="BZ97" s="91"/>
      <c r="CA97" s="91"/>
      <c r="CB97" s="75"/>
      <c r="CC97" s="91"/>
      <c r="CD97" s="75"/>
      <c r="CE97" s="26"/>
      <c r="CF97" s="73"/>
      <c r="CG97" s="41"/>
      <c r="CH97" s="26"/>
      <c r="CI97" s="26" t="s">
        <v>1056</v>
      </c>
      <c r="CJ97" s="87" t="s">
        <v>1240</v>
      </c>
      <c r="CK97" s="87"/>
      <c r="CL97" s="87"/>
      <c r="CM97" s="89" t="s">
        <v>1438</v>
      </c>
      <c r="CN97" s="75"/>
      <c r="CO97" s="75"/>
      <c r="CP97" s="75"/>
      <c r="CQ97" s="75"/>
      <c r="CR97" s="75"/>
      <c r="CS97" s="89"/>
      <c r="CT97" s="75"/>
      <c r="CU97" s="75"/>
      <c r="CV97" s="26"/>
      <c r="CW97" s="26"/>
      <c r="CX97" s="26"/>
      <c r="CY97" s="26"/>
      <c r="CZ97" s="26"/>
      <c r="DA97" s="26"/>
      <c r="DB97" s="76"/>
      <c r="DC97" s="26" t="s">
        <v>862</v>
      </c>
      <c r="DD97" s="26"/>
      <c r="DE97" s="26"/>
      <c r="DF97" s="26"/>
      <c r="DG97" s="74"/>
      <c r="DH97" s="28"/>
      <c r="DI97" s="94"/>
      <c r="DJ97" s="89" t="s">
        <v>1452</v>
      </c>
      <c r="DK97" s="28"/>
      <c r="DL97" s="85"/>
      <c r="DM97" s="85"/>
      <c r="DN97" s="91"/>
      <c r="DO97" s="75"/>
      <c r="DP97" s="89"/>
      <c r="DQ97" s="26" t="s">
        <v>1205</v>
      </c>
      <c r="DR97" s="26" t="s">
        <v>1054</v>
      </c>
      <c r="DS97" s="26"/>
      <c r="DT97" s="26"/>
      <c r="DU97" s="26"/>
      <c r="DV97" s="26" t="s">
        <v>1453</v>
      </c>
      <c r="DW97" s="26" t="s">
        <v>1349</v>
      </c>
      <c r="DX97" s="26" t="s">
        <v>1454</v>
      </c>
      <c r="DY97" s="26" t="s">
        <v>1446</v>
      </c>
      <c r="DZ97" s="87"/>
      <c r="EA97" s="87"/>
    </row>
    <row r="98" spans="1:131" ht="28.8" x14ac:dyDescent="0.3">
      <c r="A98" s="6" t="s">
        <v>1455</v>
      </c>
      <c r="B98" s="7"/>
      <c r="C98" s="7"/>
      <c r="D98" s="7"/>
      <c r="E98" s="7"/>
      <c r="F98" s="7"/>
      <c r="G98" s="7"/>
      <c r="H98" s="12"/>
      <c r="I98" s="75"/>
      <c r="J98" s="12"/>
      <c r="K98" s="75"/>
      <c r="L98" s="75"/>
      <c r="M98" s="75"/>
      <c r="N98" s="75"/>
      <c r="O98" s="7"/>
      <c r="P98" s="12"/>
      <c r="Q98" s="91"/>
      <c r="R98" s="7"/>
      <c r="S98" s="75"/>
      <c r="T98" s="75"/>
      <c r="U98" s="91"/>
      <c r="V98" s="91"/>
      <c r="W98" s="91"/>
      <c r="X98" s="46"/>
      <c r="Y98" s="75"/>
      <c r="Z98" s="75"/>
      <c r="AA98" s="75"/>
      <c r="AB98" s="75"/>
      <c r="AC98" s="91"/>
      <c r="AD98" s="75"/>
      <c r="AE98" s="75"/>
      <c r="AF98" s="10"/>
      <c r="AG98" s="10">
        <v>29</v>
      </c>
      <c r="AH98" s="87"/>
      <c r="AI98" s="7" t="s">
        <v>1456</v>
      </c>
      <c r="AJ98" s="7" t="s">
        <v>1457</v>
      </c>
      <c r="AK98" s="7"/>
      <c r="AL98" s="7"/>
      <c r="AM98" s="7"/>
      <c r="AN98" s="7" t="s">
        <v>1458</v>
      </c>
      <c r="AO98" s="7"/>
      <c r="AP98" s="7"/>
      <c r="AQ98" s="7"/>
      <c r="AR98" s="7" t="s">
        <v>1457</v>
      </c>
      <c r="AS98" s="7" t="s">
        <v>1459</v>
      </c>
      <c r="AT98" s="7"/>
      <c r="AU98" s="7" t="s">
        <v>1459</v>
      </c>
      <c r="AV98" s="7"/>
      <c r="AW98" s="7"/>
      <c r="AX98" s="9"/>
      <c r="AY98" s="7"/>
      <c r="AZ98" s="7"/>
      <c r="BA98" s="12"/>
      <c r="BB98" s="7"/>
      <c r="BC98" s="7" t="s">
        <v>469</v>
      </c>
      <c r="BD98" s="41" t="s">
        <v>469</v>
      </c>
      <c r="BE98" s="41" t="s">
        <v>469</v>
      </c>
      <c r="BF98" s="41" t="s">
        <v>469</v>
      </c>
      <c r="BG98" s="41" t="s">
        <v>469</v>
      </c>
      <c r="BH98" s="70" t="s">
        <v>469</v>
      </c>
      <c r="BI98" s="63" t="s">
        <v>469</v>
      </c>
      <c r="BJ98" s="95" t="s">
        <v>469</v>
      </c>
      <c r="BK98" s="10" t="s">
        <v>1460</v>
      </c>
      <c r="BL98" s="12" t="s">
        <v>1461</v>
      </c>
      <c r="BM98" s="81" t="s">
        <v>1462</v>
      </c>
      <c r="BN98" s="10" t="s">
        <v>1463</v>
      </c>
      <c r="BO98" s="81" t="s">
        <v>1464</v>
      </c>
      <c r="BP98" s="7" t="s">
        <v>469</v>
      </c>
      <c r="BQ98" s="7" t="s">
        <v>469</v>
      </c>
      <c r="BR98" s="7" t="s">
        <v>469</v>
      </c>
      <c r="BS98" s="7" t="s">
        <v>469</v>
      </c>
      <c r="BT98" s="7" t="s">
        <v>469</v>
      </c>
      <c r="BU98" s="7" t="s">
        <v>469</v>
      </c>
      <c r="BV98" s="7" t="s">
        <v>469</v>
      </c>
      <c r="BW98" s="12" t="s">
        <v>469</v>
      </c>
      <c r="BX98" s="46"/>
      <c r="BY98" s="96" t="s">
        <v>1457</v>
      </c>
      <c r="BZ98" s="97" t="s">
        <v>1465</v>
      </c>
      <c r="CA98" s="91"/>
      <c r="CB98" s="75"/>
      <c r="CC98" s="91"/>
      <c r="CD98" s="41" t="s">
        <v>1466</v>
      </c>
      <c r="CE98" s="7" t="s">
        <v>1467</v>
      </c>
      <c r="CF98" s="12" t="s">
        <v>1467</v>
      </c>
      <c r="CG98" s="7" t="s">
        <v>1468</v>
      </c>
      <c r="CH98" s="10" t="s">
        <v>1469</v>
      </c>
      <c r="CI98" s="74" t="s">
        <v>1470</v>
      </c>
      <c r="CJ98" s="75"/>
      <c r="CK98" s="75"/>
      <c r="CL98" s="91"/>
      <c r="CM98" s="75"/>
      <c r="CN98" s="10" t="s">
        <v>1471</v>
      </c>
      <c r="CO98" s="10" t="s">
        <v>1472</v>
      </c>
      <c r="CP98" s="7" t="s">
        <v>1473</v>
      </c>
      <c r="CQ98" s="7" t="s">
        <v>1474</v>
      </c>
      <c r="CR98" s="81" t="s">
        <v>1475</v>
      </c>
      <c r="CS98" s="91"/>
      <c r="CT98" s="75"/>
      <c r="CU98" s="75"/>
      <c r="CV98" s="26" t="s">
        <v>1476</v>
      </c>
      <c r="CW98" s="26" t="s">
        <v>1476</v>
      </c>
      <c r="CX98" s="26" t="s">
        <v>1477</v>
      </c>
      <c r="CY98" s="26" t="s">
        <v>1477</v>
      </c>
      <c r="CZ98" s="26" t="s">
        <v>1478</v>
      </c>
      <c r="DA98" s="26" t="s">
        <v>1478</v>
      </c>
      <c r="DB98" s="86"/>
      <c r="DC98" s="28"/>
      <c r="DD98" s="28"/>
      <c r="DE98" s="28"/>
      <c r="DF98" s="28"/>
      <c r="DG98" s="85"/>
      <c r="DH98" s="28"/>
      <c r="DI98" s="85"/>
      <c r="DJ98" s="85"/>
      <c r="DK98" s="28"/>
      <c r="DL98" s="12" t="s">
        <v>1459</v>
      </c>
      <c r="DM98" s="85"/>
      <c r="DN98" s="91"/>
      <c r="DO98" s="91"/>
      <c r="DP98" s="91"/>
      <c r="DQ98" s="26"/>
      <c r="DR98" s="26">
        <v>29</v>
      </c>
      <c r="DS98" s="26"/>
      <c r="DT98" s="26"/>
      <c r="DU98" s="26" t="s">
        <v>469</v>
      </c>
      <c r="DV98" s="26" t="s">
        <v>469</v>
      </c>
      <c r="DW98" s="26" t="s">
        <v>469</v>
      </c>
      <c r="DX98" s="26" t="s">
        <v>469</v>
      </c>
      <c r="DY98" s="74" t="s">
        <v>469</v>
      </c>
      <c r="DZ98" s="75"/>
      <c r="EA98" s="75"/>
    </row>
    <row r="99" spans="1:131" ht="259.2" x14ac:dyDescent="0.3">
      <c r="A99" s="6" t="s">
        <v>1479</v>
      </c>
      <c r="B99" s="7"/>
      <c r="C99" s="7"/>
      <c r="D99" s="7"/>
      <c r="E99" s="7"/>
      <c r="F99" s="7"/>
      <c r="G99" s="7"/>
      <c r="H99" s="12"/>
      <c r="I99" s="75"/>
      <c r="J99" s="12"/>
      <c r="K99" s="75"/>
      <c r="L99" s="75"/>
      <c r="M99" s="75"/>
      <c r="N99" s="75"/>
      <c r="O99" s="7"/>
      <c r="P99" s="12"/>
      <c r="Q99" s="91"/>
      <c r="R99" s="75"/>
      <c r="S99" s="75"/>
      <c r="T99" s="75"/>
      <c r="U99" s="91"/>
      <c r="V99" s="91"/>
      <c r="W99" s="91"/>
      <c r="X99" s="46"/>
      <c r="Y99" s="75"/>
      <c r="Z99" s="75"/>
      <c r="AA99" s="75"/>
      <c r="AB99" s="75"/>
      <c r="AC99" s="91"/>
      <c r="AD99" s="75"/>
      <c r="AE99" s="75"/>
      <c r="AF99" s="10"/>
      <c r="AG99" s="81" t="s">
        <v>890</v>
      </c>
      <c r="AH99" s="75"/>
      <c r="AI99" s="7" t="s">
        <v>1480</v>
      </c>
      <c r="AJ99" s="7" t="s">
        <v>1481</v>
      </c>
      <c r="AK99" s="7" t="s">
        <v>1482</v>
      </c>
      <c r="AL99" s="7" t="s">
        <v>1483</v>
      </c>
      <c r="AM99" s="7" t="s">
        <v>1484</v>
      </c>
      <c r="AN99" s="7" t="s">
        <v>1485</v>
      </c>
      <c r="AO99" s="7" t="s">
        <v>1486</v>
      </c>
      <c r="AP99" s="7" t="s">
        <v>1487</v>
      </c>
      <c r="AQ99" s="7" t="s">
        <v>1488</v>
      </c>
      <c r="AR99" s="7" t="s">
        <v>1489</v>
      </c>
      <c r="AS99" s="7" t="s">
        <v>1490</v>
      </c>
      <c r="AT99" s="7" t="s">
        <v>1491</v>
      </c>
      <c r="AU99" s="7" t="s">
        <v>1492</v>
      </c>
      <c r="AV99" s="7"/>
      <c r="AW99" s="7"/>
      <c r="AX99" s="9"/>
      <c r="AY99" s="7"/>
      <c r="AZ99" s="7"/>
      <c r="BA99" s="12"/>
      <c r="BB99" s="7"/>
      <c r="BC99" s="98"/>
      <c r="BD99" s="75"/>
      <c r="BE99" s="91"/>
      <c r="BF99" s="91"/>
      <c r="BG99" s="91"/>
      <c r="BH99" s="75"/>
      <c r="BI99" s="75"/>
      <c r="BJ99" s="75"/>
      <c r="BK99" s="82" t="s">
        <v>1493</v>
      </c>
      <c r="BL99" s="81" t="s">
        <v>1494</v>
      </c>
      <c r="BM99" s="81" t="s">
        <v>1495</v>
      </c>
      <c r="BN99" s="10" t="s">
        <v>1496</v>
      </c>
      <c r="BO99" s="81" t="s">
        <v>1497</v>
      </c>
      <c r="BP99" s="9"/>
      <c r="BQ99" s="9"/>
      <c r="BR99" s="9"/>
      <c r="BS99" s="9"/>
      <c r="BT99" s="9"/>
      <c r="BU99" s="9"/>
      <c r="BV99" s="7"/>
      <c r="BW99" s="12"/>
      <c r="BX99" s="46"/>
      <c r="BY99" s="10" t="s">
        <v>1498</v>
      </c>
      <c r="BZ99" s="81" t="s">
        <v>1499</v>
      </c>
      <c r="CA99" s="12" t="s">
        <v>1500</v>
      </c>
      <c r="CB99" s="7" t="s">
        <v>1501</v>
      </c>
      <c r="CC99" s="12" t="s">
        <v>1500</v>
      </c>
      <c r="CD99" s="7" t="s">
        <v>1500</v>
      </c>
      <c r="CE99" s="26" t="s">
        <v>1502</v>
      </c>
      <c r="CF99" s="74" t="s">
        <v>1503</v>
      </c>
      <c r="CG99" s="26" t="s">
        <v>1504</v>
      </c>
      <c r="CH99" s="26" t="s">
        <v>1505</v>
      </c>
      <c r="CI99" s="74" t="s">
        <v>1506</v>
      </c>
      <c r="CJ99" s="75"/>
      <c r="CK99" s="75"/>
      <c r="CL99" s="91"/>
      <c r="CM99" s="75"/>
      <c r="CN99" s="10" t="s">
        <v>1507</v>
      </c>
      <c r="CO99" s="10" t="s">
        <v>1507</v>
      </c>
      <c r="CP99" s="7" t="s">
        <v>1508</v>
      </c>
      <c r="CQ99" s="7" t="s">
        <v>1509</v>
      </c>
      <c r="CR99" s="81" t="s">
        <v>1507</v>
      </c>
      <c r="CS99" s="91"/>
      <c r="CT99" s="75"/>
      <c r="CU99" s="75"/>
      <c r="CV99" s="26" t="s">
        <v>1510</v>
      </c>
      <c r="CW99" s="26" t="s">
        <v>1511</v>
      </c>
      <c r="CX99" s="26" t="s">
        <v>1512</v>
      </c>
      <c r="CY99" s="26" t="s">
        <v>1513</v>
      </c>
      <c r="CZ99" s="26" t="s">
        <v>1514</v>
      </c>
      <c r="DA99" s="26" t="s">
        <v>1515</v>
      </c>
      <c r="DB99" s="76"/>
      <c r="DC99" s="26"/>
      <c r="DD99" s="26"/>
      <c r="DE99" s="26"/>
      <c r="DF99" s="26"/>
      <c r="DG99" s="74"/>
      <c r="DH99" s="26"/>
      <c r="DI99" s="74"/>
      <c r="DJ99" s="74"/>
      <c r="DK99" s="26" t="s">
        <v>1516</v>
      </c>
      <c r="DL99" s="87" t="s">
        <v>1517</v>
      </c>
      <c r="DM99" s="89" t="s">
        <v>1518</v>
      </c>
      <c r="DN99" s="74" t="s">
        <v>1519</v>
      </c>
      <c r="DO99" s="74" t="s">
        <v>1520</v>
      </c>
      <c r="DP99" s="91"/>
      <c r="DQ99" s="26"/>
      <c r="DR99" s="26"/>
      <c r="DS99" s="26"/>
      <c r="DT99" s="26"/>
      <c r="DU99" s="87"/>
      <c r="DV99" s="87"/>
      <c r="DW99" s="87"/>
      <c r="DX99" s="87"/>
      <c r="DY99" s="89"/>
      <c r="DZ99" s="75"/>
      <c r="EA99" s="75"/>
    </row>
    <row r="100" spans="1:131" ht="28.8" x14ac:dyDescent="0.3">
      <c r="A100" s="6" t="s">
        <v>1521</v>
      </c>
      <c r="B100" s="7"/>
      <c r="C100" s="7"/>
      <c r="D100" s="7"/>
      <c r="E100" s="7"/>
      <c r="F100" s="7"/>
      <c r="G100" s="7"/>
      <c r="H100" s="12"/>
      <c r="I100" s="75"/>
      <c r="J100" s="12"/>
      <c r="K100" s="75"/>
      <c r="L100" s="75"/>
      <c r="M100" s="75"/>
      <c r="N100" s="75"/>
      <c r="O100" s="7"/>
      <c r="P100" s="12"/>
      <c r="Q100" s="91"/>
      <c r="R100" s="75"/>
      <c r="S100" s="75"/>
      <c r="T100" s="75"/>
      <c r="U100" s="91"/>
      <c r="V100" s="91"/>
      <c r="W100" s="91"/>
      <c r="X100" s="46"/>
      <c r="Y100" s="75"/>
      <c r="Z100" s="75"/>
      <c r="AA100" s="75"/>
      <c r="AB100" s="75"/>
      <c r="AC100" s="91"/>
      <c r="AD100" s="75"/>
      <c r="AE100" s="75"/>
      <c r="AF100" s="10"/>
      <c r="AG100" s="81" t="s">
        <v>1319</v>
      </c>
      <c r="AH100" s="75"/>
      <c r="AI100" s="7"/>
      <c r="AJ100" s="7"/>
      <c r="AK100" s="7"/>
      <c r="AL100" s="7"/>
      <c r="AM100" s="7"/>
      <c r="AN100" s="7"/>
      <c r="AO100" s="7"/>
      <c r="AP100" s="7"/>
      <c r="AQ100" s="7"/>
      <c r="AR100" s="7"/>
      <c r="AS100" s="7"/>
      <c r="AT100" s="7"/>
      <c r="AU100" s="7"/>
      <c r="AV100" s="99">
        <v>45161</v>
      </c>
      <c r="AW100" s="99">
        <v>45168</v>
      </c>
      <c r="AX100" s="100">
        <v>45163</v>
      </c>
      <c r="AY100" s="100">
        <v>45169</v>
      </c>
      <c r="AZ100" s="100">
        <v>45169</v>
      </c>
      <c r="BA100" s="101">
        <v>45161</v>
      </c>
      <c r="BB100" s="100">
        <v>45167</v>
      </c>
      <c r="BC100" s="72"/>
      <c r="BD100" s="75"/>
      <c r="BE100" s="91"/>
      <c r="BF100" s="91"/>
      <c r="BG100" s="91"/>
      <c r="BH100" s="75"/>
      <c r="BI100" s="75"/>
      <c r="BJ100" s="75"/>
      <c r="BK100" s="102">
        <v>45167</v>
      </c>
      <c r="BL100" s="101">
        <v>45169</v>
      </c>
      <c r="BM100" s="101">
        <v>45169</v>
      </c>
      <c r="BN100" s="100">
        <v>45163</v>
      </c>
      <c r="BO100" s="103">
        <v>45161</v>
      </c>
      <c r="BP100" s="18"/>
      <c r="BQ100" s="18"/>
      <c r="BR100" s="18"/>
      <c r="BS100" s="18"/>
      <c r="BT100" s="18"/>
      <c r="BU100" s="18"/>
      <c r="BV100" s="69"/>
      <c r="BW100" s="69"/>
      <c r="BX100" s="46"/>
      <c r="CA100" s="75"/>
      <c r="CD100" s="75"/>
      <c r="CE100" s="99">
        <v>45148</v>
      </c>
      <c r="CF100" s="104">
        <v>45148</v>
      </c>
      <c r="CG100" s="75"/>
      <c r="CJ100" s="75"/>
      <c r="CK100" s="75"/>
      <c r="CL100" s="91"/>
      <c r="CM100" s="75"/>
      <c r="CS100" s="91"/>
      <c r="CT100" s="75"/>
      <c r="CU100" s="75"/>
      <c r="CV100" s="105">
        <v>45180</v>
      </c>
      <c r="CW100" s="105">
        <v>45180</v>
      </c>
      <c r="CX100" s="105">
        <v>45181</v>
      </c>
      <c r="CY100" s="105">
        <v>45181</v>
      </c>
      <c r="CZ100" s="105">
        <v>45182</v>
      </c>
      <c r="DA100" s="105">
        <v>45182</v>
      </c>
      <c r="DB100" s="106"/>
      <c r="DC100" s="107"/>
      <c r="DD100" s="107"/>
      <c r="DE100" s="107"/>
      <c r="DF100" s="107"/>
      <c r="DG100" s="108"/>
      <c r="DH100" s="16"/>
      <c r="DI100" s="83"/>
      <c r="DJ100" s="83"/>
      <c r="DK100" s="16"/>
      <c r="DL100" s="81"/>
      <c r="DM100" s="83"/>
      <c r="DN100" s="91"/>
      <c r="DO100" s="91"/>
      <c r="DP100" s="104">
        <v>45162</v>
      </c>
      <c r="DQ100" s="99">
        <v>45168</v>
      </c>
      <c r="DR100" s="99">
        <v>45162</v>
      </c>
      <c r="DS100" s="99">
        <v>45162</v>
      </c>
      <c r="DT100" s="104">
        <v>45160</v>
      </c>
      <c r="DU100" s="26"/>
      <c r="DV100" s="26"/>
      <c r="DW100" s="26"/>
      <c r="DX100" s="26"/>
      <c r="DY100" s="74"/>
      <c r="DZ100" s="75"/>
      <c r="EA100" s="75"/>
    </row>
    <row r="101" spans="1:131" x14ac:dyDescent="0.3">
      <c r="A101" s="6" t="s">
        <v>1522</v>
      </c>
      <c r="B101" s="7"/>
      <c r="C101" s="7"/>
      <c r="D101" s="7"/>
      <c r="E101" s="7"/>
      <c r="F101" s="7"/>
      <c r="G101" s="7"/>
      <c r="H101" s="12"/>
      <c r="I101" s="75"/>
      <c r="J101" s="12"/>
      <c r="K101" s="75"/>
      <c r="L101" s="75"/>
      <c r="M101" s="75"/>
      <c r="N101" s="75"/>
      <c r="O101" s="7"/>
      <c r="P101" s="12"/>
      <c r="Q101" s="91"/>
      <c r="R101" s="75"/>
      <c r="S101" s="75"/>
      <c r="T101" s="75"/>
      <c r="U101" s="91"/>
      <c r="V101" s="91"/>
      <c r="W101" s="91"/>
      <c r="X101" s="46"/>
      <c r="Y101" s="75"/>
      <c r="Z101" s="75"/>
      <c r="AA101" s="75"/>
      <c r="AB101" s="75"/>
      <c r="AC101" s="91"/>
      <c r="AD101" s="75"/>
      <c r="AE101" s="75"/>
      <c r="AF101" s="10"/>
      <c r="AG101" s="81" t="s">
        <v>778</v>
      </c>
      <c r="AH101" s="75"/>
      <c r="AI101" s="7"/>
      <c r="AJ101" s="7"/>
      <c r="AK101" s="7"/>
      <c r="AL101" s="7"/>
      <c r="AM101" s="7"/>
      <c r="AN101" s="7"/>
      <c r="AO101" s="7"/>
      <c r="AP101" s="7"/>
      <c r="AQ101" s="7"/>
      <c r="AR101" s="7"/>
      <c r="AS101" s="7"/>
      <c r="AT101" s="7"/>
      <c r="AU101" s="7"/>
      <c r="AV101" s="7"/>
      <c r="AW101" s="7"/>
      <c r="AX101" s="9"/>
      <c r="AY101" s="9"/>
      <c r="AZ101" s="109"/>
      <c r="BA101" s="12"/>
      <c r="BB101" s="7"/>
      <c r="BC101" s="72"/>
      <c r="BD101" s="75"/>
      <c r="BE101" s="91"/>
      <c r="BF101" s="91"/>
      <c r="BG101" s="91"/>
      <c r="BH101" s="91"/>
      <c r="BI101" s="75"/>
      <c r="BJ101" s="75"/>
      <c r="BK101" s="75"/>
      <c r="BL101" s="83"/>
      <c r="BM101" s="91"/>
      <c r="BN101" s="75"/>
      <c r="BO101" s="91"/>
      <c r="BP101" s="18"/>
      <c r="BQ101" s="18"/>
      <c r="BR101" s="18"/>
      <c r="BS101" s="18"/>
      <c r="BT101" s="18"/>
      <c r="BU101" s="18"/>
      <c r="BV101" s="69"/>
      <c r="BW101" s="69"/>
      <c r="BX101" s="46"/>
      <c r="CA101" s="75"/>
      <c r="CD101" s="75"/>
      <c r="CE101" s="32"/>
      <c r="CF101" s="32"/>
      <c r="CG101" s="75"/>
      <c r="CJ101" s="75"/>
      <c r="CK101" s="75"/>
      <c r="CL101" s="91"/>
      <c r="CM101" s="75"/>
      <c r="CS101" s="91"/>
      <c r="CT101" s="75"/>
      <c r="CU101" s="75"/>
      <c r="CV101" s="10"/>
      <c r="CW101" s="10"/>
      <c r="CX101" s="10"/>
      <c r="CY101" s="10"/>
      <c r="CZ101" s="10"/>
      <c r="DA101" s="10"/>
      <c r="DB101" s="16"/>
      <c r="DC101" s="16"/>
      <c r="DD101" s="83"/>
      <c r="DE101" s="16"/>
      <c r="DF101" s="16"/>
      <c r="DG101" s="83"/>
      <c r="DH101" s="16"/>
      <c r="DI101" s="83"/>
      <c r="DJ101" s="83"/>
      <c r="DK101" s="16"/>
      <c r="DL101" s="81"/>
      <c r="DM101" s="83"/>
      <c r="DN101" s="91"/>
      <c r="DO101" s="91"/>
      <c r="DP101" s="91"/>
      <c r="DQ101" s="26"/>
      <c r="DR101" s="26"/>
      <c r="DS101" s="26"/>
      <c r="DT101" s="74"/>
      <c r="DU101" s="26"/>
      <c r="DV101" s="26"/>
      <c r="DW101" s="26"/>
      <c r="DX101" s="26"/>
      <c r="DY101" s="74"/>
      <c r="DZ101" s="75"/>
      <c r="EA101" s="75"/>
    </row>
    <row r="102" spans="1:131" ht="43.2" x14ac:dyDescent="0.3">
      <c r="A102" s="6"/>
      <c r="B102" s="7"/>
      <c r="C102" s="7"/>
      <c r="D102" s="7"/>
      <c r="E102" s="7"/>
      <c r="F102" s="7"/>
      <c r="G102" s="7"/>
      <c r="H102" s="12"/>
      <c r="I102" s="75"/>
      <c r="J102" s="12"/>
      <c r="K102" s="75"/>
      <c r="L102" s="75"/>
      <c r="M102" s="75"/>
      <c r="N102" s="75"/>
      <c r="O102" s="7"/>
      <c r="P102" s="12"/>
      <c r="Q102" s="91"/>
      <c r="R102" s="75"/>
      <c r="S102" s="75"/>
      <c r="T102" s="75"/>
      <c r="U102" s="91"/>
      <c r="V102" s="91"/>
      <c r="W102" s="91"/>
      <c r="X102" s="46"/>
      <c r="Y102" s="75"/>
      <c r="Z102" s="75"/>
      <c r="AA102" s="75"/>
      <c r="AB102" s="75"/>
      <c r="AC102" s="91"/>
      <c r="AD102" s="75"/>
      <c r="AE102" s="75"/>
      <c r="AF102" s="10"/>
      <c r="AG102" s="81" t="s">
        <v>1369</v>
      </c>
      <c r="AH102" s="75"/>
      <c r="AI102" s="7"/>
      <c r="AJ102" s="7"/>
      <c r="AK102" s="7"/>
      <c r="AL102" s="7"/>
      <c r="AM102" s="7"/>
      <c r="AN102" s="7"/>
      <c r="AO102" s="7"/>
      <c r="AP102" s="7"/>
      <c r="AQ102" s="7"/>
      <c r="AR102" s="7"/>
      <c r="AS102" s="7"/>
      <c r="AT102" s="7"/>
      <c r="AU102" s="7"/>
      <c r="AV102" s="7"/>
      <c r="AW102" s="7"/>
      <c r="AX102" s="9"/>
      <c r="AY102" s="72"/>
      <c r="AZ102" s="7"/>
      <c r="BA102" s="70"/>
      <c r="BB102" s="7"/>
      <c r="BC102" s="72"/>
      <c r="BD102" s="75"/>
      <c r="BE102" s="91"/>
      <c r="BF102" s="91"/>
      <c r="BG102" s="91"/>
      <c r="BH102" s="91"/>
      <c r="BI102" s="75"/>
      <c r="BJ102" s="75"/>
      <c r="BK102" s="75"/>
      <c r="BL102" s="16"/>
      <c r="BM102" s="91"/>
      <c r="BN102" s="75"/>
      <c r="BO102" s="91"/>
      <c r="BP102" s="18"/>
      <c r="BQ102" s="18"/>
      <c r="BR102" s="18"/>
      <c r="BS102" s="18"/>
      <c r="BT102" s="18"/>
      <c r="BU102" s="18"/>
      <c r="BV102" s="69"/>
      <c r="BW102" s="69"/>
      <c r="BX102" s="46"/>
      <c r="CA102" s="75"/>
      <c r="CD102" s="75"/>
      <c r="CE102" s="32"/>
      <c r="CF102" s="32"/>
      <c r="CG102" s="75"/>
      <c r="CJ102" s="75"/>
      <c r="CK102" s="75"/>
      <c r="CL102" s="91"/>
      <c r="CM102" s="75"/>
      <c r="CS102" s="91"/>
      <c r="CT102" s="75"/>
      <c r="CU102" s="75"/>
      <c r="CV102" s="10"/>
      <c r="CW102" s="10"/>
      <c r="CX102" s="10"/>
      <c r="CY102" s="10"/>
      <c r="CZ102" s="10"/>
      <c r="DA102" s="10"/>
      <c r="DB102" s="16"/>
      <c r="DC102" s="16"/>
      <c r="DD102" s="83"/>
      <c r="DE102" s="16"/>
      <c r="DF102" s="16"/>
      <c r="DG102" s="83"/>
      <c r="DH102" s="16"/>
      <c r="DI102" s="83"/>
      <c r="DJ102" s="83"/>
      <c r="DK102" s="16"/>
      <c r="DL102" s="81"/>
      <c r="DM102" s="83"/>
      <c r="DN102" s="91"/>
      <c r="DO102" s="91"/>
      <c r="DP102" s="91"/>
      <c r="DQ102" s="26"/>
      <c r="DR102" s="26"/>
      <c r="DS102" s="26"/>
      <c r="DT102" s="74"/>
      <c r="DU102" s="26"/>
      <c r="DV102" s="26"/>
      <c r="DW102" s="26"/>
      <c r="DX102" s="26"/>
      <c r="DY102" s="74"/>
      <c r="DZ102" s="75"/>
      <c r="EA102" s="75"/>
    </row>
    <row r="103" spans="1:131" ht="28.8" x14ac:dyDescent="0.3">
      <c r="A103" s="110" t="s">
        <v>1523</v>
      </c>
      <c r="B103" s="7"/>
      <c r="C103" s="7"/>
      <c r="D103" s="7"/>
      <c r="E103" s="7"/>
      <c r="F103" s="7"/>
      <c r="G103" s="7"/>
      <c r="H103" s="12"/>
      <c r="I103" s="12"/>
      <c r="J103" s="12"/>
      <c r="K103" s="7"/>
      <c r="L103" s="7" t="s">
        <v>1524</v>
      </c>
      <c r="M103" s="7" t="s">
        <v>1457</v>
      </c>
      <c r="N103" s="7" t="s">
        <v>1465</v>
      </c>
      <c r="O103" s="7" t="s">
        <v>1465</v>
      </c>
      <c r="P103" s="12" t="s">
        <v>1525</v>
      </c>
      <c r="Q103" s="12" t="s">
        <v>1526</v>
      </c>
      <c r="R103" s="7" t="s">
        <v>469</v>
      </c>
      <c r="S103" s="7" t="s">
        <v>469</v>
      </c>
      <c r="T103" s="7" t="s">
        <v>469</v>
      </c>
      <c r="U103" s="12" t="s">
        <v>469</v>
      </c>
      <c r="V103" s="12" t="s">
        <v>469</v>
      </c>
      <c r="W103" s="12" t="s">
        <v>469</v>
      </c>
      <c r="X103" s="26" t="s">
        <v>1527</v>
      </c>
      <c r="Y103" s="26" t="s">
        <v>1528</v>
      </c>
      <c r="Z103" s="28" t="s">
        <v>1529</v>
      </c>
      <c r="AA103" s="26" t="s">
        <v>1529</v>
      </c>
      <c r="AB103" s="26" t="s">
        <v>1530</v>
      </c>
      <c r="AC103" s="74" t="s">
        <v>1530</v>
      </c>
      <c r="AD103" s="26" t="s">
        <v>1531</v>
      </c>
      <c r="AE103" s="10" t="s">
        <v>1532</v>
      </c>
      <c r="AF103" s="10" t="s">
        <v>1533</v>
      </c>
      <c r="AG103" s="81" t="s">
        <v>1534</v>
      </c>
      <c r="AH103" s="10" t="s">
        <v>588</v>
      </c>
      <c r="AI103" s="7"/>
      <c r="AJ103" s="7"/>
      <c r="AK103" s="7"/>
      <c r="AL103" s="7"/>
      <c r="AM103" s="7"/>
      <c r="AN103" s="7"/>
      <c r="AO103" s="7"/>
      <c r="AP103" s="7"/>
      <c r="AQ103" s="7"/>
      <c r="AR103" s="7"/>
      <c r="AS103" s="7"/>
      <c r="AT103" s="7"/>
      <c r="AU103" s="7"/>
      <c r="AV103" s="7"/>
      <c r="AW103" s="7"/>
      <c r="AX103" s="9"/>
      <c r="AY103" s="72"/>
      <c r="AZ103" s="12"/>
      <c r="BA103" s="12"/>
      <c r="BB103" s="75"/>
      <c r="BC103" s="72"/>
      <c r="BD103" s="75"/>
      <c r="BE103" s="91"/>
      <c r="BF103" s="91"/>
      <c r="BG103" s="91"/>
      <c r="BH103" s="91"/>
      <c r="BI103" s="75"/>
      <c r="BJ103" s="75"/>
      <c r="BK103" s="75"/>
      <c r="BL103" s="75"/>
      <c r="BM103" s="91"/>
      <c r="BN103" s="75"/>
      <c r="BO103" s="91"/>
      <c r="BP103" s="18"/>
      <c r="BQ103" s="18"/>
      <c r="BR103" s="18"/>
      <c r="BS103" s="18"/>
      <c r="BT103" s="18"/>
      <c r="BU103" s="18"/>
      <c r="BV103" s="69"/>
      <c r="BW103" s="69"/>
      <c r="BX103" s="46"/>
      <c r="CA103" s="75"/>
      <c r="CD103" s="75"/>
      <c r="CE103" s="32"/>
      <c r="CF103" s="32"/>
      <c r="CG103" s="75"/>
      <c r="CJ103" s="75"/>
      <c r="CK103" s="75"/>
      <c r="CL103" s="91"/>
      <c r="CM103" s="75"/>
      <c r="CS103" s="91"/>
      <c r="CT103" s="75"/>
      <c r="CU103" s="75"/>
      <c r="CV103" s="10"/>
      <c r="CW103" s="10"/>
      <c r="CX103" s="10"/>
      <c r="CY103" s="10"/>
      <c r="CZ103" s="10"/>
      <c r="DA103" s="10"/>
      <c r="DB103" s="16"/>
      <c r="DC103" s="16"/>
      <c r="DD103" s="83"/>
      <c r="DE103" s="16"/>
      <c r="DF103" s="16"/>
      <c r="DG103" s="83"/>
      <c r="DH103" s="16"/>
      <c r="DI103" s="83"/>
      <c r="DJ103" s="83"/>
      <c r="DK103" s="16"/>
      <c r="DL103" s="81"/>
      <c r="DM103" s="83"/>
      <c r="DN103" s="91"/>
      <c r="DO103" s="91"/>
      <c r="DP103" s="91"/>
      <c r="DQ103" s="78"/>
      <c r="DR103" s="78"/>
      <c r="DS103" s="78"/>
      <c r="DT103" s="111"/>
      <c r="DU103" s="26"/>
      <c r="DV103" s="26"/>
      <c r="DW103" s="26"/>
      <c r="DX103" s="26"/>
      <c r="DY103" s="74"/>
      <c r="DZ103" s="75"/>
      <c r="EA103" s="75"/>
    </row>
    <row r="104" spans="1:131" ht="187.2" x14ac:dyDescent="0.3">
      <c r="A104" s="110" t="s">
        <v>1535</v>
      </c>
      <c r="B104" s="7"/>
      <c r="C104" s="7"/>
      <c r="D104" s="7"/>
      <c r="E104" s="7"/>
      <c r="F104" s="7"/>
      <c r="G104" s="7"/>
      <c r="H104" s="12"/>
      <c r="I104" s="12"/>
      <c r="J104" s="12"/>
      <c r="K104" s="112"/>
      <c r="L104" s="41" t="s">
        <v>1536</v>
      </c>
      <c r="M104" s="41" t="s">
        <v>1537</v>
      </c>
      <c r="N104" s="7" t="s">
        <v>1538</v>
      </c>
      <c r="O104" s="7" t="s">
        <v>1538</v>
      </c>
      <c r="P104" s="7" t="s">
        <v>1507</v>
      </c>
      <c r="Q104" s="112" t="s">
        <v>1509</v>
      </c>
      <c r="R104" s="7"/>
      <c r="S104" s="7"/>
      <c r="T104" s="113"/>
      <c r="U104" s="113"/>
      <c r="V104" s="113"/>
      <c r="W104" s="12"/>
      <c r="X104" s="26" t="s">
        <v>1539</v>
      </c>
      <c r="Y104" s="26" t="s">
        <v>1540</v>
      </c>
      <c r="Z104" s="26" t="s">
        <v>1541</v>
      </c>
      <c r="AA104" s="26" t="s">
        <v>1542</v>
      </c>
      <c r="AB104" s="26" t="s">
        <v>1543</v>
      </c>
      <c r="AC104" s="74" t="s">
        <v>1544</v>
      </c>
      <c r="AD104" s="26" t="s">
        <v>1545</v>
      </c>
      <c r="AE104" s="42" t="s">
        <v>1546</v>
      </c>
      <c r="AF104" s="10" t="s">
        <v>1547</v>
      </c>
      <c r="AG104" s="81" t="s">
        <v>1548</v>
      </c>
      <c r="AH104" s="75"/>
      <c r="AI104" s="7"/>
      <c r="AJ104" s="7"/>
      <c r="AK104" s="7"/>
      <c r="AL104" s="7"/>
      <c r="AM104" s="7"/>
      <c r="AN104" s="7"/>
      <c r="AO104" s="7"/>
      <c r="AP104" s="7"/>
      <c r="AQ104" s="7"/>
      <c r="AR104" s="7"/>
      <c r="AS104" s="7"/>
      <c r="AT104" s="7"/>
      <c r="AU104" s="7"/>
      <c r="AV104" s="7"/>
      <c r="AW104" s="7"/>
      <c r="AX104" s="9"/>
      <c r="AY104" s="72"/>
      <c r="AZ104" s="72"/>
      <c r="BA104" s="12"/>
      <c r="BB104" s="75"/>
      <c r="BC104" s="72"/>
      <c r="BD104" s="75"/>
      <c r="BE104" s="91"/>
      <c r="BF104" s="91"/>
      <c r="BG104" s="91"/>
      <c r="BH104" s="91"/>
      <c r="BI104" s="75"/>
      <c r="BJ104" s="75"/>
      <c r="BK104" s="75"/>
      <c r="BL104" s="75"/>
      <c r="BM104" s="91"/>
      <c r="BN104" s="75"/>
      <c r="BO104" s="91"/>
      <c r="BP104" s="18"/>
      <c r="BQ104" s="18"/>
      <c r="BR104" s="18"/>
      <c r="BS104" s="18"/>
      <c r="BT104" s="18"/>
      <c r="BU104" s="18"/>
      <c r="BV104" s="69"/>
      <c r="BW104" s="69"/>
      <c r="BX104" s="46"/>
      <c r="CA104" s="75"/>
      <c r="CD104" s="75"/>
      <c r="CE104" s="32"/>
      <c r="CF104" s="32"/>
      <c r="CG104" s="75"/>
      <c r="CJ104" s="75"/>
      <c r="CK104" s="75"/>
      <c r="CL104" s="91"/>
      <c r="CM104" s="75"/>
      <c r="CS104" s="91"/>
      <c r="CT104" s="75"/>
      <c r="CU104" s="75"/>
      <c r="CV104" s="10"/>
      <c r="CW104" s="10"/>
      <c r="CX104" s="10"/>
      <c r="CY104" s="10"/>
      <c r="CZ104" s="10"/>
      <c r="DA104" s="10"/>
      <c r="DB104" s="16"/>
      <c r="DC104" s="16"/>
      <c r="DD104" s="83"/>
      <c r="DE104" s="16"/>
      <c r="DF104" s="16"/>
      <c r="DG104" s="83"/>
      <c r="DH104" s="16"/>
      <c r="DI104" s="83"/>
      <c r="DJ104" s="83"/>
      <c r="DK104" s="16"/>
      <c r="DL104" s="81"/>
      <c r="DM104" s="83"/>
      <c r="DN104" s="91"/>
      <c r="DO104" s="91"/>
      <c r="DP104" s="91"/>
      <c r="DQ104" s="78"/>
      <c r="DR104" s="78"/>
      <c r="DS104" s="78"/>
      <c r="DT104" s="111"/>
      <c r="DU104" s="26"/>
      <c r="DV104" s="26"/>
      <c r="DW104" s="26"/>
      <c r="DX104" s="26"/>
      <c r="DY104" s="74"/>
      <c r="DZ104" s="75"/>
      <c r="EA104" s="75"/>
    </row>
    <row r="105" spans="1:131" x14ac:dyDescent="0.3">
      <c r="A105" s="114" t="s">
        <v>1549</v>
      </c>
      <c r="B105" s="7"/>
      <c r="C105" s="7"/>
      <c r="D105" s="7"/>
      <c r="E105" s="7"/>
      <c r="F105" s="7"/>
      <c r="G105" s="7"/>
      <c r="H105" s="12"/>
      <c r="I105" s="12"/>
      <c r="J105" s="12"/>
      <c r="K105" s="12"/>
      <c r="L105" s="12"/>
      <c r="M105" s="12"/>
      <c r="N105" s="12"/>
      <c r="O105" s="12"/>
      <c r="P105" s="12"/>
      <c r="Q105" s="12"/>
      <c r="R105" s="7"/>
      <c r="S105" s="7"/>
      <c r="T105" s="115"/>
      <c r="U105" s="115"/>
      <c r="V105" s="115"/>
      <c r="W105" s="70"/>
      <c r="X105" s="105">
        <v>45174</v>
      </c>
      <c r="Y105" s="116">
        <v>45174</v>
      </c>
      <c r="Z105" s="117">
        <v>45175</v>
      </c>
      <c r="AA105" s="116">
        <v>45175</v>
      </c>
      <c r="AB105" s="116">
        <v>45176</v>
      </c>
      <c r="AC105" s="118">
        <v>45176</v>
      </c>
      <c r="AD105" s="105">
        <v>45180</v>
      </c>
      <c r="AE105" s="100">
        <v>45175</v>
      </c>
      <c r="AF105" s="109">
        <v>45176</v>
      </c>
      <c r="AG105" s="103">
        <v>45176</v>
      </c>
      <c r="AH105" s="75"/>
      <c r="AI105" s="7"/>
      <c r="AJ105" s="7"/>
      <c r="AK105" s="7"/>
      <c r="AL105" s="7"/>
      <c r="AM105" s="7"/>
      <c r="AN105" s="7"/>
      <c r="AO105" s="7"/>
      <c r="AP105" s="7"/>
      <c r="AQ105" s="7"/>
      <c r="AR105" s="7"/>
      <c r="AS105" s="7"/>
      <c r="AT105" s="7"/>
      <c r="AU105" s="7"/>
      <c r="AV105" s="7"/>
      <c r="AW105" s="7"/>
      <c r="AX105" s="9"/>
      <c r="AY105" s="72"/>
      <c r="AZ105" s="72"/>
      <c r="BA105" s="12"/>
      <c r="BB105" s="75"/>
      <c r="BC105" s="72"/>
      <c r="BD105" s="75"/>
      <c r="BE105" s="91"/>
      <c r="BF105" s="91"/>
      <c r="BG105" s="91"/>
      <c r="BH105" s="91"/>
      <c r="BI105" s="75"/>
      <c r="BJ105" s="75"/>
      <c r="BK105" s="75"/>
      <c r="BL105" s="75"/>
      <c r="BM105" s="91"/>
      <c r="BN105" s="75"/>
      <c r="BO105" s="91"/>
      <c r="BP105" s="18"/>
      <c r="BQ105" s="18"/>
      <c r="BR105" s="18"/>
      <c r="BS105" s="18"/>
      <c r="BT105" s="18"/>
      <c r="BU105" s="18"/>
      <c r="BV105" s="69"/>
      <c r="BW105" s="69"/>
      <c r="BX105" s="46"/>
      <c r="CA105" s="75"/>
      <c r="CD105" s="75"/>
      <c r="CE105" s="32"/>
      <c r="CF105" s="32"/>
      <c r="CG105" s="75"/>
      <c r="CJ105" s="75"/>
      <c r="CK105" s="75"/>
      <c r="CL105" s="91"/>
      <c r="CM105" s="75"/>
      <c r="CS105" s="91"/>
      <c r="CT105" s="75"/>
      <c r="CU105" s="75"/>
      <c r="CV105" s="10"/>
      <c r="CW105" s="10"/>
      <c r="CX105" s="10"/>
      <c r="CY105" s="10"/>
      <c r="CZ105" s="10"/>
      <c r="DA105" s="10"/>
      <c r="DB105" s="16"/>
      <c r="DC105" s="16"/>
      <c r="DD105" s="83"/>
      <c r="DE105" s="16"/>
      <c r="DF105" s="16"/>
      <c r="DG105" s="83"/>
      <c r="DH105" s="16"/>
      <c r="DI105" s="83"/>
      <c r="DJ105" s="83"/>
      <c r="DK105" s="16"/>
      <c r="DL105" s="81"/>
      <c r="DM105" s="83"/>
      <c r="DN105" s="91"/>
      <c r="DO105" s="91"/>
      <c r="DP105" s="91"/>
      <c r="DQ105" s="78"/>
      <c r="DR105" s="78"/>
      <c r="DS105" s="78"/>
      <c r="DT105" s="111"/>
      <c r="DU105" s="26"/>
      <c r="DV105" s="26"/>
      <c r="DW105" s="26"/>
      <c r="DX105" s="26"/>
      <c r="DY105" s="74"/>
      <c r="DZ105" s="75"/>
      <c r="EA105" s="75"/>
    </row>
    <row r="106" spans="1:131" x14ac:dyDescent="0.3">
      <c r="A106" s="7" t="s">
        <v>1550</v>
      </c>
      <c r="B106" s="7">
        <v>266</v>
      </c>
      <c r="C106" s="7"/>
      <c r="D106" s="7"/>
      <c r="E106" s="7"/>
      <c r="F106" s="7"/>
      <c r="G106" s="7"/>
      <c r="H106" s="12"/>
      <c r="I106" s="71">
        <v>486</v>
      </c>
      <c r="J106" s="71">
        <v>1237</v>
      </c>
      <c r="K106" s="71"/>
      <c r="L106" s="71"/>
      <c r="M106" s="71">
        <v>200</v>
      </c>
      <c r="N106" s="71">
        <v>765</v>
      </c>
      <c r="O106" s="71">
        <v>591</v>
      </c>
      <c r="P106" s="71">
        <v>129</v>
      </c>
      <c r="Q106" s="12">
        <v>1091</v>
      </c>
      <c r="R106" s="12">
        <v>157</v>
      </c>
      <c r="S106" s="71">
        <v>341</v>
      </c>
      <c r="T106" s="12">
        <v>1080</v>
      </c>
      <c r="U106" s="12" t="s">
        <v>1551</v>
      </c>
      <c r="V106" s="12">
        <v>991</v>
      </c>
      <c r="W106" s="12">
        <v>642</v>
      </c>
      <c r="X106" s="46"/>
      <c r="Y106" s="71">
        <v>0</v>
      </c>
      <c r="Z106" s="75"/>
      <c r="AA106" s="75"/>
      <c r="AB106" s="46">
        <v>288</v>
      </c>
      <c r="AC106" s="119">
        <v>329</v>
      </c>
      <c r="AD106" s="46">
        <v>357</v>
      </c>
      <c r="AE106" s="46"/>
      <c r="AF106" s="75"/>
      <c r="AG106" s="119"/>
      <c r="AH106" s="46">
        <v>682</v>
      </c>
      <c r="AI106" s="7"/>
      <c r="AJ106" s="7"/>
      <c r="AK106" s="7"/>
      <c r="AL106" s="7"/>
      <c r="AM106" s="7"/>
      <c r="AN106" s="7"/>
      <c r="AO106" s="7"/>
      <c r="AP106" s="7"/>
      <c r="AQ106" s="7"/>
      <c r="AR106" s="7"/>
      <c r="AS106" s="7"/>
      <c r="AT106" s="7"/>
      <c r="AU106" s="7"/>
      <c r="AV106" s="7"/>
      <c r="AW106" s="7"/>
      <c r="AX106" s="9"/>
      <c r="AY106" s="72"/>
      <c r="AZ106" s="72"/>
      <c r="BA106" s="12"/>
      <c r="BB106" s="75"/>
      <c r="BC106" s="120"/>
      <c r="BD106" s="75"/>
      <c r="BE106" s="91"/>
      <c r="BF106" s="91"/>
      <c r="BG106" s="91"/>
      <c r="BH106" s="91"/>
      <c r="BI106" s="75"/>
      <c r="BJ106" s="75"/>
      <c r="BK106" s="75"/>
      <c r="BL106" s="75"/>
      <c r="BM106" s="91"/>
      <c r="BN106" s="75"/>
      <c r="BO106" s="91"/>
      <c r="BP106" s="18"/>
      <c r="BQ106" s="18"/>
      <c r="BR106" s="18"/>
      <c r="BS106" s="18"/>
      <c r="BT106" s="18"/>
      <c r="BU106" s="18"/>
      <c r="BV106" s="69"/>
      <c r="BW106" s="69"/>
      <c r="BX106" s="119"/>
      <c r="CA106" s="75"/>
      <c r="CD106" s="75"/>
      <c r="CE106" s="121">
        <v>45148</v>
      </c>
      <c r="CF106" s="104">
        <v>45148</v>
      </c>
      <c r="CG106" s="122">
        <v>45153</v>
      </c>
      <c r="CH106" s="123">
        <v>45153</v>
      </c>
      <c r="CI106" s="124">
        <v>45153</v>
      </c>
      <c r="CJ106" s="99">
        <v>45149</v>
      </c>
      <c r="CK106" s="99">
        <v>45146</v>
      </c>
      <c r="CL106" s="104">
        <v>45148</v>
      </c>
      <c r="CM106" s="75"/>
      <c r="CN106" s="46"/>
      <c r="CO106" s="46"/>
      <c r="CP106" s="46"/>
      <c r="CQ106" s="75"/>
      <c r="CR106" s="91"/>
      <c r="CS106" s="91"/>
      <c r="CT106" s="75"/>
      <c r="CU106" s="75"/>
      <c r="CV106" s="10">
        <v>451</v>
      </c>
      <c r="CW106" s="10">
        <v>0</v>
      </c>
      <c r="CX106" s="10"/>
      <c r="CY106" s="10">
        <v>500</v>
      </c>
      <c r="CZ106" s="10">
        <v>500</v>
      </c>
      <c r="DA106" s="10">
        <v>450</v>
      </c>
      <c r="DB106" s="125"/>
      <c r="DC106" s="125"/>
      <c r="DD106" s="7"/>
      <c r="DE106" s="7">
        <v>355</v>
      </c>
      <c r="DF106" s="7">
        <v>499</v>
      </c>
      <c r="DG106" s="126"/>
      <c r="DH106" s="125"/>
      <c r="DI106" s="12">
        <v>324</v>
      </c>
      <c r="DJ106" s="126"/>
      <c r="DK106" s="10">
        <v>720</v>
      </c>
      <c r="DL106" s="81">
        <v>233</v>
      </c>
      <c r="DM106" s="12">
        <v>0</v>
      </c>
      <c r="DN106" s="119">
        <v>236</v>
      </c>
      <c r="DO106" s="119">
        <v>230</v>
      </c>
      <c r="DP106" s="91"/>
      <c r="DQ106" s="78"/>
      <c r="DR106" s="78"/>
      <c r="DS106" s="78"/>
      <c r="DT106" s="78"/>
      <c r="DU106" s="127">
        <v>218</v>
      </c>
      <c r="DV106" s="127">
        <v>337</v>
      </c>
      <c r="DW106" s="127">
        <v>170</v>
      </c>
      <c r="DX106" s="127">
        <v>0</v>
      </c>
      <c r="DY106" s="92">
        <f>86+186</f>
        <v>272</v>
      </c>
      <c r="DZ106" s="75"/>
      <c r="EA106" s="75"/>
    </row>
    <row r="107" spans="1:131" x14ac:dyDescent="0.3">
      <c r="A107" s="7" t="s">
        <v>1552</v>
      </c>
      <c r="B107" s="7"/>
      <c r="C107" s="7"/>
      <c r="D107" s="7"/>
      <c r="E107" s="7"/>
      <c r="F107" s="7"/>
      <c r="G107" s="7"/>
      <c r="H107" s="12"/>
      <c r="I107" s="7">
        <v>2</v>
      </c>
      <c r="J107" s="7">
        <v>4</v>
      </c>
      <c r="K107" s="7"/>
      <c r="L107" s="7">
        <v>2</v>
      </c>
      <c r="M107" s="7">
        <v>1</v>
      </c>
      <c r="N107" s="7">
        <v>2</v>
      </c>
      <c r="O107" s="7">
        <v>2</v>
      </c>
      <c r="P107" s="7">
        <v>1</v>
      </c>
      <c r="Q107" s="12">
        <v>2</v>
      </c>
      <c r="R107" s="12"/>
      <c r="S107" s="75"/>
      <c r="T107" s="91"/>
      <c r="U107" s="91"/>
      <c r="V107" s="91"/>
      <c r="W107" s="91"/>
      <c r="X107" s="46"/>
      <c r="Y107" s="75"/>
      <c r="Z107" s="75"/>
      <c r="AA107" s="75"/>
      <c r="AB107" s="75"/>
      <c r="AC107" s="119"/>
      <c r="AD107" s="75"/>
      <c r="AE107" s="46"/>
      <c r="AF107" s="75"/>
      <c r="AG107" s="119"/>
      <c r="AH107" s="46"/>
      <c r="AI107" s="7"/>
      <c r="AJ107" s="7"/>
      <c r="AK107" s="7"/>
      <c r="AL107" s="7"/>
      <c r="AM107" s="7"/>
      <c r="AN107" s="7"/>
      <c r="AO107" s="7"/>
      <c r="AP107" s="7"/>
      <c r="AQ107" s="7"/>
      <c r="AR107" s="7"/>
      <c r="AS107" s="7"/>
      <c r="AT107" s="7"/>
      <c r="AU107" s="7"/>
      <c r="AV107" s="7"/>
      <c r="AW107" s="7"/>
      <c r="AX107" s="128"/>
      <c r="AY107" s="98"/>
      <c r="AZ107" s="72"/>
      <c r="BA107" s="12"/>
      <c r="BB107" s="75"/>
      <c r="BC107" s="72"/>
      <c r="BD107" s="75"/>
      <c r="BE107" s="91"/>
      <c r="BF107" s="91"/>
      <c r="BG107" s="91"/>
      <c r="BH107" s="91"/>
      <c r="BI107" s="75"/>
      <c r="BJ107" s="75"/>
      <c r="BK107" s="75"/>
      <c r="BL107" s="75"/>
      <c r="BM107" s="91"/>
      <c r="BN107" s="75"/>
      <c r="BO107" s="91"/>
      <c r="BP107" s="7">
        <f>170+184</f>
        <v>354</v>
      </c>
      <c r="BQ107" s="7">
        <v>189</v>
      </c>
      <c r="BR107" s="7">
        <f>235+230</f>
        <v>465</v>
      </c>
      <c r="BS107" s="7">
        <v>217</v>
      </c>
      <c r="BT107" s="7">
        <v>200</v>
      </c>
      <c r="BU107" s="7">
        <v>0</v>
      </c>
      <c r="BV107" s="7">
        <v>0</v>
      </c>
      <c r="BW107" s="12">
        <f>179+68</f>
        <v>247</v>
      </c>
      <c r="BX107" s="12">
        <v>900</v>
      </c>
      <c r="BY107" s="75"/>
      <c r="BZ107" s="12">
        <v>130</v>
      </c>
      <c r="CA107" s="7">
        <v>1178</v>
      </c>
      <c r="CB107" s="7">
        <v>210</v>
      </c>
      <c r="CC107" s="91"/>
      <c r="CD107" s="7">
        <v>87</v>
      </c>
      <c r="CE107" s="7">
        <v>653.20000000000005</v>
      </c>
      <c r="CF107" s="12">
        <v>0</v>
      </c>
      <c r="CG107" s="75"/>
      <c r="CH107" s="7">
        <v>246</v>
      </c>
      <c r="CI107" s="91"/>
      <c r="CJ107" s="91"/>
      <c r="CK107" s="75"/>
      <c r="CL107" s="91"/>
      <c r="CM107" s="75"/>
      <c r="CN107" s="46">
        <v>0</v>
      </c>
      <c r="CO107" s="46">
        <v>906</v>
      </c>
      <c r="CP107" s="46">
        <v>580</v>
      </c>
      <c r="CQ107" s="46">
        <v>1903</v>
      </c>
      <c r="CR107" s="119">
        <v>322</v>
      </c>
      <c r="CS107" s="91"/>
      <c r="CT107" s="75"/>
      <c r="CU107" s="75"/>
      <c r="CV107" s="10"/>
      <c r="CW107" s="10"/>
      <c r="CX107" s="10"/>
      <c r="CY107" s="10"/>
      <c r="CZ107" s="10"/>
      <c r="DA107" s="10"/>
      <c r="DB107" s="125"/>
      <c r="DC107" s="125"/>
      <c r="DD107" s="7"/>
      <c r="DE107" s="7">
        <v>0</v>
      </c>
      <c r="DF107" s="7">
        <v>0</v>
      </c>
      <c r="DG107" s="126"/>
      <c r="DH107" s="125"/>
      <c r="DI107" s="12">
        <v>0</v>
      </c>
      <c r="DJ107" s="126"/>
      <c r="DK107" s="10">
        <v>160</v>
      </c>
      <c r="DL107" s="81">
        <v>83</v>
      </c>
      <c r="DM107" s="12">
        <v>0</v>
      </c>
      <c r="DN107" s="12">
        <v>0</v>
      </c>
      <c r="DO107" s="119">
        <v>0</v>
      </c>
      <c r="DP107" s="91"/>
      <c r="DQ107" s="78"/>
      <c r="DR107" s="78"/>
      <c r="DS107" s="78"/>
      <c r="DT107" s="78"/>
      <c r="DU107" s="26">
        <v>0</v>
      </c>
      <c r="DV107" s="26">
        <v>0</v>
      </c>
      <c r="DW107" s="26">
        <v>0</v>
      </c>
      <c r="DX107" s="26">
        <f>313+275</f>
        <v>588</v>
      </c>
      <c r="DY107" s="74">
        <v>0</v>
      </c>
      <c r="DZ107" s="75"/>
      <c r="EA107" s="75"/>
    </row>
    <row r="108" spans="1:131" x14ac:dyDescent="0.3">
      <c r="A108" s="7" t="s">
        <v>1553</v>
      </c>
      <c r="B108" s="7">
        <v>151</v>
      </c>
      <c r="C108" s="7"/>
      <c r="D108" s="7"/>
      <c r="E108" s="7"/>
      <c r="F108" s="7"/>
      <c r="G108" s="7"/>
      <c r="H108" s="12"/>
      <c r="I108" s="71">
        <v>0</v>
      </c>
      <c r="J108" s="71">
        <v>175</v>
      </c>
      <c r="K108" s="71"/>
      <c r="L108" s="71">
        <v>0</v>
      </c>
      <c r="M108" s="71">
        <v>0</v>
      </c>
      <c r="N108" s="71">
        <v>419</v>
      </c>
      <c r="O108" s="71">
        <v>0</v>
      </c>
      <c r="P108" s="71">
        <v>0</v>
      </c>
      <c r="Q108" s="12">
        <v>0</v>
      </c>
      <c r="R108" s="12">
        <v>153</v>
      </c>
      <c r="S108" s="71">
        <v>334</v>
      </c>
      <c r="T108" s="12">
        <v>140</v>
      </c>
      <c r="U108" s="12"/>
      <c r="V108" s="12">
        <v>0</v>
      </c>
      <c r="W108" s="12">
        <v>392</v>
      </c>
      <c r="X108" s="46"/>
      <c r="Y108" s="71">
        <v>209</v>
      </c>
      <c r="Z108" s="71">
        <v>1018</v>
      </c>
      <c r="AA108" s="71">
        <v>700</v>
      </c>
      <c r="AB108" s="71">
        <v>0</v>
      </c>
      <c r="AC108" s="12">
        <v>0</v>
      </c>
      <c r="AD108" s="71">
        <v>0</v>
      </c>
      <c r="AE108" s="46"/>
      <c r="AF108" s="75"/>
      <c r="AG108" s="119"/>
      <c r="AH108" s="46">
        <v>0</v>
      </c>
      <c r="AI108" s="7"/>
      <c r="AJ108" s="7"/>
      <c r="AK108" s="7"/>
      <c r="AL108" s="7"/>
      <c r="AM108" s="7"/>
      <c r="AN108" s="7"/>
      <c r="AO108" s="7"/>
      <c r="AP108" s="7"/>
      <c r="AQ108" s="7"/>
      <c r="AR108" s="7"/>
      <c r="AS108" s="7"/>
      <c r="AT108" s="7"/>
      <c r="AU108" s="7"/>
      <c r="AV108" s="12"/>
      <c r="AW108" s="12"/>
      <c r="AX108" s="75"/>
      <c r="AY108" s="91"/>
      <c r="AZ108" s="91"/>
      <c r="BA108" s="91"/>
      <c r="BB108" s="75"/>
      <c r="BC108" s="72"/>
      <c r="BD108" s="75"/>
      <c r="BE108" s="91"/>
      <c r="BF108" s="91"/>
      <c r="BG108" s="91"/>
      <c r="BH108" s="91"/>
      <c r="BI108" s="75"/>
      <c r="BJ108" s="75"/>
      <c r="BK108" s="75"/>
      <c r="BL108" s="75"/>
      <c r="BM108" s="91"/>
      <c r="BN108" s="75"/>
      <c r="BO108" s="91"/>
      <c r="BP108" s="7">
        <v>0</v>
      </c>
      <c r="BQ108" s="7">
        <v>0</v>
      </c>
      <c r="BR108" s="7">
        <v>0</v>
      </c>
      <c r="BS108" s="7">
        <v>0</v>
      </c>
      <c r="BT108" s="7">
        <v>0</v>
      </c>
      <c r="BU108" s="7">
        <v>0</v>
      </c>
      <c r="BV108" s="7">
        <v>0</v>
      </c>
      <c r="BW108" s="12">
        <v>0</v>
      </c>
      <c r="BX108" s="12">
        <v>0</v>
      </c>
      <c r="BY108" s="75"/>
      <c r="BZ108" s="12">
        <v>0</v>
      </c>
      <c r="CA108" s="7">
        <v>0</v>
      </c>
      <c r="CB108" s="7">
        <v>0</v>
      </c>
      <c r="CC108" s="12">
        <v>30</v>
      </c>
      <c r="CD108" s="7">
        <v>132</v>
      </c>
      <c r="CE108" s="7">
        <v>0</v>
      </c>
      <c r="CF108" s="12">
        <v>2.08</v>
      </c>
      <c r="CG108" s="75"/>
      <c r="CH108" s="7">
        <v>0</v>
      </c>
      <c r="CI108" s="91"/>
      <c r="CJ108" s="91"/>
      <c r="CK108" s="75"/>
      <c r="CL108" s="91"/>
      <c r="CM108" s="75"/>
      <c r="CN108" s="46">
        <v>0</v>
      </c>
      <c r="CO108" s="46">
        <v>0</v>
      </c>
      <c r="CP108" s="46">
        <v>66</v>
      </c>
      <c r="CQ108" s="46">
        <v>246</v>
      </c>
      <c r="CR108" s="119">
        <v>0</v>
      </c>
      <c r="CS108" s="91"/>
      <c r="CT108" s="75"/>
      <c r="CU108" s="75"/>
      <c r="CV108" s="10"/>
      <c r="CW108" s="10">
        <v>438</v>
      </c>
      <c r="CX108" s="10"/>
      <c r="CY108" s="10">
        <v>50</v>
      </c>
      <c r="CZ108" s="10"/>
      <c r="DA108" s="10"/>
      <c r="DB108" s="125"/>
      <c r="DC108" s="125"/>
      <c r="DD108" s="7"/>
      <c r="DE108" s="7">
        <v>0</v>
      </c>
      <c r="DF108" s="7">
        <v>0</v>
      </c>
      <c r="DG108" s="126"/>
      <c r="DH108" s="125"/>
      <c r="DI108" s="12">
        <v>0</v>
      </c>
      <c r="DJ108" s="126"/>
      <c r="DK108" s="10">
        <v>1</v>
      </c>
      <c r="DL108" s="81">
        <v>0</v>
      </c>
      <c r="DM108" s="12">
        <v>0</v>
      </c>
      <c r="DN108" s="12">
        <v>0</v>
      </c>
      <c r="DO108" s="119">
        <v>0</v>
      </c>
      <c r="DP108" s="91"/>
      <c r="DQ108" s="78"/>
      <c r="DR108" s="78"/>
      <c r="DS108" s="78"/>
      <c r="DT108" s="78"/>
      <c r="DU108" s="26">
        <v>280</v>
      </c>
      <c r="DV108" s="26">
        <v>0</v>
      </c>
      <c r="DW108" s="26">
        <v>0</v>
      </c>
      <c r="DX108" s="26">
        <v>0</v>
      </c>
      <c r="DY108" s="74">
        <v>0</v>
      </c>
      <c r="DZ108" s="75"/>
      <c r="EA108" s="75"/>
    </row>
    <row r="109" spans="1:131" x14ac:dyDescent="0.3">
      <c r="A109" s="7" t="s">
        <v>1554</v>
      </c>
      <c r="B109" s="7"/>
      <c r="C109" s="7"/>
      <c r="D109" s="7"/>
      <c r="E109" s="7"/>
      <c r="F109" s="7"/>
      <c r="G109" s="7"/>
      <c r="H109" s="12"/>
      <c r="I109" s="7">
        <v>0</v>
      </c>
      <c r="J109" s="7">
        <v>1</v>
      </c>
      <c r="K109" s="7"/>
      <c r="L109" s="7">
        <v>0</v>
      </c>
      <c r="M109" s="7">
        <v>0</v>
      </c>
      <c r="N109" s="7">
        <v>2</v>
      </c>
      <c r="O109" s="7">
        <v>0</v>
      </c>
      <c r="P109" s="7">
        <v>0</v>
      </c>
      <c r="Q109" s="12">
        <v>0</v>
      </c>
      <c r="R109" s="12"/>
      <c r="S109" s="75"/>
      <c r="T109" s="91"/>
      <c r="U109" s="91"/>
      <c r="V109" s="91"/>
      <c r="W109" s="91"/>
      <c r="X109" s="46"/>
      <c r="Y109" s="75"/>
      <c r="Z109" s="75"/>
      <c r="AA109" s="75"/>
      <c r="AB109" s="75"/>
      <c r="AC109" s="119"/>
      <c r="AD109" s="75"/>
      <c r="AE109" s="46"/>
      <c r="AF109" s="75"/>
      <c r="AG109" s="119"/>
      <c r="AH109" s="46"/>
      <c r="AI109" s="7"/>
      <c r="AJ109" s="7"/>
      <c r="AK109" s="7"/>
      <c r="AL109" s="7"/>
      <c r="AM109" s="7"/>
      <c r="AN109" s="7"/>
      <c r="AO109" s="7"/>
      <c r="AP109" s="7"/>
      <c r="AQ109" s="7"/>
      <c r="AR109" s="7"/>
      <c r="AS109" s="7"/>
      <c r="AT109" s="7"/>
      <c r="AU109" s="7"/>
      <c r="AV109" s="12"/>
      <c r="AW109" s="12"/>
      <c r="AX109" s="75"/>
      <c r="AY109" s="91"/>
      <c r="AZ109" s="91"/>
      <c r="BA109" s="91"/>
      <c r="BB109" s="75"/>
      <c r="BC109" s="72"/>
      <c r="BD109" s="75"/>
      <c r="BE109" s="91"/>
      <c r="BF109" s="91"/>
      <c r="BG109" s="91"/>
      <c r="BH109" s="91"/>
      <c r="BI109" s="75"/>
      <c r="BJ109" s="75"/>
      <c r="BK109" s="75"/>
      <c r="BL109" s="75"/>
      <c r="BM109" s="91"/>
      <c r="BN109" s="75"/>
      <c r="BO109" s="91"/>
      <c r="BP109" s="7">
        <v>0</v>
      </c>
      <c r="BQ109" s="7">
        <v>103</v>
      </c>
      <c r="BR109" s="7">
        <v>0</v>
      </c>
      <c r="BS109" s="7">
        <v>0</v>
      </c>
      <c r="BT109" s="7">
        <v>0</v>
      </c>
      <c r="BU109" s="7">
        <v>412</v>
      </c>
      <c r="BV109" s="7">
        <v>388</v>
      </c>
      <c r="BW109" s="12">
        <v>0</v>
      </c>
      <c r="BX109" s="12">
        <v>0</v>
      </c>
      <c r="BY109" s="75"/>
      <c r="BZ109" s="12">
        <v>1</v>
      </c>
      <c r="CA109" s="7">
        <v>718</v>
      </c>
      <c r="CB109" s="7">
        <v>0</v>
      </c>
      <c r="CC109" s="12">
        <v>2</v>
      </c>
      <c r="CD109" s="7">
        <v>210</v>
      </c>
      <c r="CE109" s="7">
        <v>0</v>
      </c>
      <c r="CF109" s="12">
        <v>0</v>
      </c>
      <c r="CG109" s="75"/>
      <c r="CH109" s="7">
        <v>0</v>
      </c>
      <c r="CI109" s="91"/>
      <c r="CJ109" s="91"/>
      <c r="CK109" s="75"/>
      <c r="CL109" s="91"/>
      <c r="CM109" s="75"/>
      <c r="CN109" s="46">
        <v>0</v>
      </c>
      <c r="CO109" s="46">
        <v>0</v>
      </c>
      <c r="CP109" s="46">
        <v>0</v>
      </c>
      <c r="CQ109" s="46">
        <v>0</v>
      </c>
      <c r="CR109" s="119">
        <v>0</v>
      </c>
      <c r="CS109" s="91"/>
      <c r="CT109" s="75"/>
      <c r="CU109" s="75"/>
      <c r="CV109" s="10">
        <v>795</v>
      </c>
      <c r="CW109" s="10">
        <v>0</v>
      </c>
      <c r="CX109" s="10">
        <v>430</v>
      </c>
      <c r="CY109" s="10">
        <v>800</v>
      </c>
      <c r="CZ109" s="10"/>
      <c r="DA109" s="10"/>
      <c r="DB109" s="125"/>
      <c r="DC109" s="125"/>
      <c r="DD109" s="7"/>
      <c r="DE109" s="7">
        <v>0.38</v>
      </c>
      <c r="DF109" s="7">
        <v>0</v>
      </c>
      <c r="DG109" s="126"/>
      <c r="DH109" s="125"/>
      <c r="DI109" s="12">
        <v>0</v>
      </c>
      <c r="DJ109" s="126"/>
      <c r="DK109" s="10">
        <v>164</v>
      </c>
      <c r="DL109" s="81">
        <v>302</v>
      </c>
      <c r="DM109" s="12">
        <v>253</v>
      </c>
      <c r="DN109" s="12">
        <v>0</v>
      </c>
      <c r="DO109" s="119">
        <v>250</v>
      </c>
      <c r="DP109" s="91"/>
      <c r="DQ109" s="78"/>
      <c r="DR109" s="78"/>
      <c r="DS109" s="78"/>
      <c r="DT109" s="78"/>
      <c r="DU109" s="26">
        <v>0</v>
      </c>
      <c r="DV109" s="26">
        <v>0</v>
      </c>
      <c r="DW109" s="26">
        <v>0</v>
      </c>
      <c r="DX109" s="26">
        <v>0</v>
      </c>
      <c r="DY109" s="74">
        <f>186+86</f>
        <v>272</v>
      </c>
      <c r="DZ109" s="75"/>
      <c r="EA109" s="75"/>
    </row>
    <row r="110" spans="1:131" x14ac:dyDescent="0.3">
      <c r="A110" s="7" t="s">
        <v>1555</v>
      </c>
      <c r="B110" s="7">
        <v>0</v>
      </c>
      <c r="C110" s="7"/>
      <c r="D110" s="7"/>
      <c r="E110" s="7"/>
      <c r="F110" s="7"/>
      <c r="G110" s="7"/>
      <c r="H110" s="12"/>
      <c r="I110" s="71">
        <v>0</v>
      </c>
      <c r="J110" s="71">
        <v>0</v>
      </c>
      <c r="K110" s="71"/>
      <c r="L110" s="71">
        <v>0</v>
      </c>
      <c r="M110" s="71">
        <v>65</v>
      </c>
      <c r="N110" s="71">
        <v>0</v>
      </c>
      <c r="O110" s="71">
        <v>0</v>
      </c>
      <c r="P110" s="71">
        <v>0</v>
      </c>
      <c r="Q110" s="12">
        <v>0</v>
      </c>
      <c r="R110" s="12">
        <v>0</v>
      </c>
      <c r="S110" s="71">
        <v>0</v>
      </c>
      <c r="T110" s="12">
        <v>0</v>
      </c>
      <c r="U110" s="12"/>
      <c r="V110" s="12">
        <v>0</v>
      </c>
      <c r="W110" s="12">
        <v>0</v>
      </c>
      <c r="X110" s="46"/>
      <c r="Y110" s="71">
        <v>0</v>
      </c>
      <c r="Z110" s="71">
        <v>50</v>
      </c>
      <c r="AA110" s="71">
        <v>0</v>
      </c>
      <c r="AB110" s="71">
        <v>0</v>
      </c>
      <c r="AC110" s="12">
        <v>210</v>
      </c>
      <c r="AD110" s="71">
        <v>373</v>
      </c>
      <c r="AE110" s="46"/>
      <c r="AF110" s="75"/>
      <c r="AG110" s="119"/>
      <c r="AH110" s="46">
        <v>0</v>
      </c>
      <c r="AI110" s="7"/>
      <c r="AJ110" s="7"/>
      <c r="AK110" s="7"/>
      <c r="AL110" s="7"/>
      <c r="AM110" s="7"/>
      <c r="AN110" s="7"/>
      <c r="AO110" s="7"/>
      <c r="AP110" s="7"/>
      <c r="AQ110" s="7"/>
      <c r="AR110" s="7"/>
      <c r="AS110" s="7"/>
      <c r="AT110" s="7"/>
      <c r="AU110" s="7"/>
      <c r="AV110" s="12"/>
      <c r="AW110" s="104"/>
      <c r="AX110" s="75"/>
      <c r="AY110" s="91"/>
      <c r="AZ110" s="91"/>
      <c r="BA110" s="91"/>
      <c r="BB110" s="75"/>
      <c r="BC110" s="72"/>
      <c r="BD110" s="75"/>
      <c r="BE110" s="91"/>
      <c r="BF110" s="91"/>
      <c r="BG110" s="91"/>
      <c r="BH110" s="91"/>
      <c r="BI110" s="129"/>
      <c r="BJ110" s="75"/>
      <c r="BK110" s="75"/>
      <c r="BL110" s="75"/>
      <c r="BM110" s="91"/>
      <c r="BN110" s="75"/>
      <c r="BO110" s="91"/>
      <c r="BP110" s="7">
        <f>194+343</f>
        <v>537</v>
      </c>
      <c r="BQ110" s="7">
        <v>454</v>
      </c>
      <c r="BR110" s="7">
        <v>0</v>
      </c>
      <c r="BS110" s="7">
        <v>170</v>
      </c>
      <c r="BT110" s="7">
        <f>380+246+100</f>
        <v>726</v>
      </c>
      <c r="BU110" s="7">
        <v>1200</v>
      </c>
      <c r="BV110" s="7">
        <v>0</v>
      </c>
      <c r="BW110" s="12">
        <v>239</v>
      </c>
      <c r="BX110" s="12">
        <v>1366</v>
      </c>
      <c r="BY110" s="75"/>
      <c r="BZ110" s="12">
        <v>368</v>
      </c>
      <c r="CA110" s="7">
        <v>3678</v>
      </c>
      <c r="CB110" s="7">
        <v>420</v>
      </c>
      <c r="CC110" s="12">
        <v>180</v>
      </c>
      <c r="CD110" s="7">
        <v>240</v>
      </c>
      <c r="CE110" s="7">
        <v>238</v>
      </c>
      <c r="CF110" s="12">
        <v>5</v>
      </c>
      <c r="CG110" s="75"/>
      <c r="CH110" s="7">
        <v>0</v>
      </c>
      <c r="CI110" s="91"/>
      <c r="CJ110" s="91"/>
      <c r="CK110" s="75"/>
      <c r="CL110" s="91"/>
      <c r="CM110" s="75"/>
      <c r="CN110" s="46">
        <v>11440</v>
      </c>
      <c r="CO110" s="46">
        <v>0</v>
      </c>
      <c r="CP110" s="46">
        <v>0</v>
      </c>
      <c r="CQ110" s="46">
        <v>0</v>
      </c>
      <c r="CR110" s="119">
        <v>0</v>
      </c>
      <c r="CS110" s="91"/>
      <c r="CT110" s="75"/>
      <c r="CU110" s="75"/>
      <c r="CV110" s="10"/>
      <c r="CW110" s="10">
        <v>400</v>
      </c>
      <c r="CX110" s="10"/>
      <c r="CY110" s="10">
        <v>600</v>
      </c>
      <c r="CZ110" s="10">
        <v>800</v>
      </c>
      <c r="DA110" s="10">
        <v>630</v>
      </c>
      <c r="DB110" s="125"/>
      <c r="DC110" s="125"/>
      <c r="DD110" s="7"/>
      <c r="DE110" s="7">
        <v>4</v>
      </c>
      <c r="DF110" s="7">
        <v>6</v>
      </c>
      <c r="DG110" s="126"/>
      <c r="DH110" s="125"/>
      <c r="DI110" s="12">
        <v>0</v>
      </c>
      <c r="DJ110" s="126"/>
      <c r="DK110" s="10">
        <v>200</v>
      </c>
      <c r="DL110" s="81">
        <v>757</v>
      </c>
      <c r="DM110" s="12">
        <v>306</v>
      </c>
      <c r="DN110" s="12">
        <v>250</v>
      </c>
      <c r="DO110" s="12">
        <v>210</v>
      </c>
      <c r="DP110" s="91"/>
      <c r="DQ110" s="78"/>
      <c r="DR110" s="78"/>
      <c r="DS110" s="78"/>
      <c r="DT110" s="78"/>
      <c r="DU110" s="26">
        <v>539</v>
      </c>
      <c r="DV110" s="26">
        <v>650</v>
      </c>
      <c r="DW110" s="26">
        <v>714</v>
      </c>
      <c r="DX110" s="26">
        <v>0</v>
      </c>
      <c r="DY110" s="74">
        <v>0</v>
      </c>
      <c r="DZ110" s="75"/>
      <c r="EA110" s="75"/>
    </row>
    <row r="111" spans="1:131" x14ac:dyDescent="0.3">
      <c r="A111" s="7" t="s">
        <v>1556</v>
      </c>
      <c r="B111" s="7"/>
      <c r="C111" s="7"/>
      <c r="D111" s="7"/>
      <c r="E111" s="7"/>
      <c r="F111" s="7"/>
      <c r="G111" s="7"/>
      <c r="H111" s="12"/>
      <c r="I111" s="7">
        <v>0</v>
      </c>
      <c r="J111" s="7">
        <v>0</v>
      </c>
      <c r="K111" s="7"/>
      <c r="L111" s="7">
        <v>0</v>
      </c>
      <c r="M111" s="7">
        <v>2</v>
      </c>
      <c r="N111" s="7">
        <v>0</v>
      </c>
      <c r="O111" s="7">
        <v>0</v>
      </c>
      <c r="P111" s="7">
        <v>0</v>
      </c>
      <c r="Q111" s="12">
        <v>0</v>
      </c>
      <c r="R111" s="12"/>
      <c r="S111" s="75"/>
      <c r="T111" s="91"/>
      <c r="U111" s="91"/>
      <c r="V111" s="91"/>
      <c r="W111" s="91"/>
      <c r="X111" s="46"/>
      <c r="Y111" s="75"/>
      <c r="Z111" s="75"/>
      <c r="AA111" s="75"/>
      <c r="AB111" s="75"/>
      <c r="AC111" s="119"/>
      <c r="AD111" s="75"/>
      <c r="AE111" s="46"/>
      <c r="AF111" s="75"/>
      <c r="AG111" s="119"/>
      <c r="AH111" s="46"/>
      <c r="AI111" s="71">
        <v>320</v>
      </c>
      <c r="AJ111" s="71">
        <v>445</v>
      </c>
      <c r="AK111" s="71">
        <v>200</v>
      </c>
      <c r="AL111" s="71">
        <v>766</v>
      </c>
      <c r="AM111" s="71">
        <v>240</v>
      </c>
      <c r="AN111" s="71">
        <v>230</v>
      </c>
      <c r="AO111" s="71">
        <v>670</v>
      </c>
      <c r="AP111" s="71">
        <v>75</v>
      </c>
      <c r="AQ111" s="71">
        <v>400</v>
      </c>
      <c r="AR111" s="71">
        <v>289</v>
      </c>
      <c r="AS111" s="71">
        <v>420</v>
      </c>
      <c r="AT111" s="71">
        <v>217</v>
      </c>
      <c r="AU111" s="71"/>
      <c r="AV111" s="12"/>
      <c r="AW111" s="12"/>
      <c r="AX111" s="75"/>
      <c r="AY111" s="91"/>
      <c r="AZ111" s="91"/>
      <c r="BA111" s="91"/>
      <c r="BB111" s="75"/>
      <c r="BC111" s="112">
        <f>107+124</f>
        <v>231</v>
      </c>
      <c r="BD111" s="7">
        <f>98+11+70</f>
        <v>179</v>
      </c>
      <c r="BE111" s="12">
        <v>255</v>
      </c>
      <c r="BF111" s="12">
        <v>566</v>
      </c>
      <c r="BG111" s="12">
        <v>510</v>
      </c>
      <c r="BH111" s="12">
        <v>145</v>
      </c>
      <c r="BI111" s="130">
        <v>133</v>
      </c>
      <c r="BJ111" s="64">
        <f>424+68</f>
        <v>492</v>
      </c>
      <c r="BK111" s="75"/>
      <c r="BL111" s="75"/>
      <c r="BM111" s="91"/>
      <c r="BN111" s="75"/>
      <c r="BO111" s="91"/>
      <c r="BP111" s="7">
        <v>0</v>
      </c>
      <c r="BQ111" s="7">
        <f>76+346</f>
        <v>422</v>
      </c>
      <c r="BR111" s="7">
        <v>0</v>
      </c>
      <c r="BS111" s="7">
        <f>192+173</f>
        <v>365</v>
      </c>
      <c r="BT111" s="7">
        <v>100</v>
      </c>
      <c r="BU111" s="7">
        <v>260</v>
      </c>
      <c r="BV111" s="7">
        <v>0</v>
      </c>
      <c r="BW111" s="12">
        <v>100</v>
      </c>
      <c r="BX111" s="12">
        <v>2</v>
      </c>
      <c r="BY111" s="75"/>
      <c r="BZ111" s="12">
        <v>113</v>
      </c>
      <c r="CA111" s="7">
        <v>3331</v>
      </c>
      <c r="CB111" s="7">
        <v>115</v>
      </c>
      <c r="CC111" s="12">
        <v>400</v>
      </c>
      <c r="CD111" s="7">
        <v>176</v>
      </c>
      <c r="CE111" s="7">
        <v>2</v>
      </c>
      <c r="CF111" s="12"/>
      <c r="CG111" s="75"/>
      <c r="CH111" s="7"/>
      <c r="CI111" s="91"/>
      <c r="CJ111" s="91"/>
      <c r="CK111" s="75"/>
      <c r="CL111" s="91"/>
      <c r="CM111" s="75"/>
      <c r="CN111" s="46">
        <v>430</v>
      </c>
      <c r="CO111" s="46">
        <v>544</v>
      </c>
      <c r="CP111" s="46">
        <v>0</v>
      </c>
      <c r="CQ111" s="46">
        <v>1029</v>
      </c>
      <c r="CR111" s="119">
        <v>0</v>
      </c>
      <c r="CS111" s="91"/>
      <c r="CT111" s="75"/>
      <c r="CU111" s="75"/>
      <c r="CV111" s="10">
        <v>1265</v>
      </c>
      <c r="CW111" s="10">
        <v>1051</v>
      </c>
      <c r="CX111" s="10">
        <v>1608</v>
      </c>
      <c r="CY111" s="10">
        <v>1950</v>
      </c>
      <c r="CZ111" s="10">
        <v>960</v>
      </c>
      <c r="DA111" s="10">
        <v>758</v>
      </c>
      <c r="DB111" s="125"/>
      <c r="DC111" s="125"/>
      <c r="DD111" s="81"/>
      <c r="DE111" s="81">
        <v>1442</v>
      </c>
      <c r="DF111" s="125"/>
      <c r="DG111" s="126"/>
      <c r="DH111" s="125"/>
      <c r="DI111" s="12">
        <f>261+154</f>
        <v>415</v>
      </c>
      <c r="DJ111" s="126"/>
      <c r="DK111" s="10" t="s">
        <v>1557</v>
      </c>
      <c r="DL111" s="81">
        <v>1044</v>
      </c>
      <c r="DM111" s="12">
        <v>835.59</v>
      </c>
      <c r="DN111" s="12">
        <v>584.09</v>
      </c>
      <c r="DO111" s="12">
        <v>995</v>
      </c>
      <c r="DP111" s="91"/>
      <c r="DQ111" s="78"/>
      <c r="DR111" s="78"/>
      <c r="DS111" s="78"/>
      <c r="DT111" s="78"/>
      <c r="DU111" s="26">
        <v>422</v>
      </c>
      <c r="DV111" s="26">
        <v>0</v>
      </c>
      <c r="DW111" s="26">
        <v>0</v>
      </c>
      <c r="DX111" s="26">
        <f>155</f>
        <v>155</v>
      </c>
      <c r="DY111" s="74">
        <v>835</v>
      </c>
      <c r="DZ111" s="75"/>
      <c r="EA111" s="75"/>
    </row>
    <row r="112" spans="1:131" x14ac:dyDescent="0.3">
      <c r="A112" s="7" t="s">
        <v>1558</v>
      </c>
      <c r="B112" s="7">
        <v>154</v>
      </c>
      <c r="C112" s="7"/>
      <c r="D112" s="7"/>
      <c r="E112" s="7"/>
      <c r="F112" s="7"/>
      <c r="G112" s="7"/>
      <c r="H112" s="12"/>
      <c r="I112" s="71">
        <v>688</v>
      </c>
      <c r="J112" s="71">
        <v>0</v>
      </c>
      <c r="K112" s="71"/>
      <c r="L112" s="71">
        <v>860</v>
      </c>
      <c r="M112" s="71">
        <v>850</v>
      </c>
      <c r="N112" s="71">
        <v>215</v>
      </c>
      <c r="O112" s="71">
        <v>856</v>
      </c>
      <c r="P112" s="71">
        <v>0</v>
      </c>
      <c r="Q112" s="12">
        <v>868</v>
      </c>
      <c r="R112" s="12">
        <v>0</v>
      </c>
      <c r="S112" s="71">
        <v>236</v>
      </c>
      <c r="T112" s="12">
        <v>0</v>
      </c>
      <c r="U112" s="12">
        <v>280</v>
      </c>
      <c r="V112" s="12">
        <v>272</v>
      </c>
      <c r="W112" s="12">
        <v>196</v>
      </c>
      <c r="X112" s="46"/>
      <c r="Y112" s="71">
        <v>634</v>
      </c>
      <c r="Z112" s="71">
        <v>182</v>
      </c>
      <c r="AA112" s="71">
        <v>0</v>
      </c>
      <c r="AB112" s="71">
        <v>0</v>
      </c>
      <c r="AC112" s="12">
        <v>329</v>
      </c>
      <c r="AD112" s="71">
        <v>746</v>
      </c>
      <c r="AE112" s="46"/>
      <c r="AF112" s="75"/>
      <c r="AG112" s="119"/>
      <c r="AH112" s="46">
        <v>0</v>
      </c>
      <c r="AI112" s="7">
        <v>2</v>
      </c>
      <c r="AJ112" s="7">
        <v>1</v>
      </c>
      <c r="AK112" s="7">
        <v>1</v>
      </c>
      <c r="AL112" s="7">
        <v>2</v>
      </c>
      <c r="AM112" s="7">
        <v>1</v>
      </c>
      <c r="AN112" s="7">
        <v>1</v>
      </c>
      <c r="AO112" s="7">
        <v>3</v>
      </c>
      <c r="AP112" s="7">
        <v>1</v>
      </c>
      <c r="AQ112" s="7">
        <v>1</v>
      </c>
      <c r="AR112" s="7">
        <v>1</v>
      </c>
      <c r="AS112" s="7">
        <v>1</v>
      </c>
      <c r="AT112" s="7">
        <v>1</v>
      </c>
      <c r="AU112" s="7">
        <v>2</v>
      </c>
      <c r="AV112" s="12"/>
      <c r="AW112" s="12"/>
      <c r="AX112" s="75"/>
      <c r="AY112" s="91"/>
      <c r="AZ112" s="91"/>
      <c r="BA112" s="91"/>
      <c r="BB112" s="75"/>
      <c r="BC112" s="12">
        <f>135+129</f>
        <v>264</v>
      </c>
      <c r="BD112" s="7">
        <f>210</f>
        <v>210</v>
      </c>
      <c r="BE112" s="12">
        <v>200</v>
      </c>
      <c r="BF112" s="12">
        <v>0</v>
      </c>
      <c r="BG112" s="12">
        <v>0</v>
      </c>
      <c r="BH112" s="12">
        <v>145</v>
      </c>
      <c r="BI112" s="130">
        <v>174</v>
      </c>
      <c r="BJ112" s="64">
        <v>0</v>
      </c>
      <c r="BK112" s="75"/>
      <c r="BL112" s="75"/>
      <c r="BM112" s="91"/>
      <c r="BN112" s="75"/>
      <c r="BO112" s="91"/>
      <c r="BP112" s="7">
        <v>0</v>
      </c>
      <c r="BQ112" s="7">
        <v>0</v>
      </c>
      <c r="BR112" s="7">
        <v>200</v>
      </c>
      <c r="BS112" s="7">
        <v>0</v>
      </c>
      <c r="BT112" s="7">
        <v>0</v>
      </c>
      <c r="BU112" s="7"/>
      <c r="BV112" s="7">
        <v>0</v>
      </c>
      <c r="BW112" s="12">
        <v>239</v>
      </c>
      <c r="BX112" s="12">
        <v>1207</v>
      </c>
      <c r="BY112" s="75"/>
      <c r="BZ112" s="12">
        <v>999</v>
      </c>
      <c r="CA112" s="7">
        <v>2235</v>
      </c>
      <c r="CB112" s="7">
        <v>732</v>
      </c>
      <c r="CC112" s="12">
        <v>1009</v>
      </c>
      <c r="CD112" s="7">
        <v>558</v>
      </c>
      <c r="CE112" s="7">
        <v>192</v>
      </c>
      <c r="CF112" s="12"/>
      <c r="CG112" s="75"/>
      <c r="CH112" s="7">
        <v>1159.7</v>
      </c>
      <c r="CI112" s="91"/>
      <c r="CJ112" s="91"/>
      <c r="CK112" s="75"/>
      <c r="CL112" s="91"/>
      <c r="CM112" s="75"/>
      <c r="CN112" s="46">
        <v>1641</v>
      </c>
      <c r="CO112" s="46">
        <v>1059</v>
      </c>
      <c r="CP112" s="46">
        <v>1475</v>
      </c>
      <c r="CQ112" s="46">
        <v>2319</v>
      </c>
      <c r="CR112" s="119">
        <v>790.84400000000005</v>
      </c>
      <c r="CS112" s="91"/>
      <c r="CT112" s="75"/>
      <c r="CU112" s="75"/>
      <c r="CV112" s="10"/>
      <c r="CW112" s="10"/>
      <c r="CX112" s="10"/>
      <c r="CY112" s="10"/>
      <c r="CZ112" s="10"/>
      <c r="DA112" s="10"/>
      <c r="DB112" s="16"/>
      <c r="DC112" s="16"/>
      <c r="DD112" s="83"/>
      <c r="DE112" s="16"/>
      <c r="DF112" s="16"/>
      <c r="DG112" s="83"/>
      <c r="DH112" s="16"/>
      <c r="DI112" s="83"/>
      <c r="DJ112" s="83"/>
      <c r="DK112" s="16"/>
      <c r="DL112" s="81"/>
      <c r="DM112" s="83"/>
      <c r="DN112" s="91"/>
      <c r="DO112" s="91"/>
      <c r="DP112" s="91"/>
      <c r="DQ112" s="78"/>
      <c r="DR112" s="78"/>
      <c r="DS112" s="78"/>
      <c r="DT112" s="78"/>
      <c r="DU112" s="26"/>
      <c r="DV112" s="26"/>
      <c r="DW112" s="26"/>
      <c r="DX112" s="26"/>
      <c r="DY112" s="74"/>
      <c r="DZ112" s="75"/>
      <c r="EA112" s="75"/>
    </row>
    <row r="113" spans="1:131" x14ac:dyDescent="0.3">
      <c r="A113" s="7" t="s">
        <v>1559</v>
      </c>
      <c r="B113" s="7">
        <v>5</v>
      </c>
      <c r="C113" s="7"/>
      <c r="D113" s="7"/>
      <c r="E113" s="7"/>
      <c r="F113" s="7"/>
      <c r="G113" s="7"/>
      <c r="H113" s="12"/>
      <c r="I113" s="7">
        <v>360</v>
      </c>
      <c r="J113" s="7">
        <v>0</v>
      </c>
      <c r="K113" s="7"/>
      <c r="L113" s="7">
        <v>505</v>
      </c>
      <c r="M113" s="7">
        <v>220</v>
      </c>
      <c r="N113" s="7">
        <v>638</v>
      </c>
      <c r="O113" s="7">
        <v>605</v>
      </c>
      <c r="P113" s="7">
        <v>415</v>
      </c>
      <c r="Q113" s="12">
        <v>0</v>
      </c>
      <c r="R113" s="12">
        <v>0</v>
      </c>
      <c r="S113" s="7">
        <v>0</v>
      </c>
      <c r="T113" s="12">
        <v>0</v>
      </c>
      <c r="U113" s="12">
        <v>0</v>
      </c>
      <c r="V113" s="12">
        <v>0</v>
      </c>
      <c r="W113" s="12">
        <v>0</v>
      </c>
      <c r="X113" s="46"/>
      <c r="Y113" s="7">
        <v>540</v>
      </c>
      <c r="Z113" s="7">
        <v>256</v>
      </c>
      <c r="AA113" s="7">
        <v>300</v>
      </c>
      <c r="AB113" s="7">
        <v>0</v>
      </c>
      <c r="AC113" s="119"/>
      <c r="AD113" s="7">
        <v>700</v>
      </c>
      <c r="AE113" s="46"/>
      <c r="AF113" s="75"/>
      <c r="AG113" s="119"/>
      <c r="AH113" s="46">
        <v>0</v>
      </c>
      <c r="AI113" s="71">
        <v>0</v>
      </c>
      <c r="AJ113" s="71">
        <v>290</v>
      </c>
      <c r="AK113" s="71">
        <v>130</v>
      </c>
      <c r="AL113" s="71">
        <v>231</v>
      </c>
      <c r="AM113" s="71">
        <v>0</v>
      </c>
      <c r="AN113" s="71">
        <v>82</v>
      </c>
      <c r="AO113" s="71">
        <v>0</v>
      </c>
      <c r="AP113" s="71">
        <v>0</v>
      </c>
      <c r="AQ113" s="71">
        <v>140</v>
      </c>
      <c r="AR113" s="71">
        <v>0</v>
      </c>
      <c r="AS113" s="71">
        <v>0</v>
      </c>
      <c r="AT113" s="71">
        <v>0</v>
      </c>
      <c r="AU113" s="71"/>
      <c r="AV113" s="12"/>
      <c r="AW113" s="12"/>
      <c r="AX113" s="75"/>
      <c r="AY113" s="91"/>
      <c r="AZ113" s="91"/>
      <c r="BA113" s="91"/>
      <c r="BB113" s="75"/>
      <c r="BC113" s="12">
        <v>0</v>
      </c>
      <c r="BD113" s="7">
        <v>0</v>
      </c>
      <c r="BE113" s="12">
        <v>0</v>
      </c>
      <c r="BF113" s="12">
        <v>0</v>
      </c>
      <c r="BG113" s="12">
        <v>0</v>
      </c>
      <c r="BH113" s="12">
        <v>0</v>
      </c>
      <c r="BI113" s="130">
        <v>0</v>
      </c>
      <c r="BJ113" s="64">
        <v>0</v>
      </c>
      <c r="BK113" s="75"/>
      <c r="BL113" s="75"/>
      <c r="BM113" s="91"/>
      <c r="BN113" s="75"/>
      <c r="BO113" s="91"/>
      <c r="BP113" s="7"/>
      <c r="BQ113" s="7"/>
      <c r="BR113" s="7"/>
      <c r="BS113" s="7"/>
      <c r="BT113" s="7"/>
      <c r="BU113" s="7"/>
      <c r="BV113" s="7"/>
      <c r="BW113" s="12"/>
      <c r="BX113" s="119"/>
      <c r="BY113" s="75"/>
      <c r="BZ113" s="12"/>
      <c r="CA113" s="75"/>
      <c r="CB113" s="75"/>
      <c r="CC113" s="12"/>
      <c r="CD113" s="75"/>
      <c r="CE113" s="7" t="s">
        <v>1560</v>
      </c>
      <c r="CF113" s="12" t="s">
        <v>1560</v>
      </c>
      <c r="CG113" s="75"/>
      <c r="CH113" s="46"/>
      <c r="CI113" s="91"/>
      <c r="CJ113" s="91"/>
      <c r="CK113" s="75"/>
      <c r="CL113" s="91"/>
      <c r="CM113" s="75"/>
      <c r="CN113" s="119"/>
      <c r="CO113" s="75"/>
      <c r="CP113" s="46"/>
      <c r="CQ113" s="75"/>
      <c r="CR113" s="91"/>
      <c r="CS113" s="91"/>
      <c r="CT113" s="75"/>
      <c r="CU113" s="75"/>
      <c r="CV113" s="10" t="s">
        <v>1561</v>
      </c>
      <c r="CW113" s="10"/>
      <c r="CX113" s="10" t="s">
        <v>1562</v>
      </c>
      <c r="CY113" s="10"/>
      <c r="CZ113" s="10"/>
      <c r="DA113" s="10" t="s">
        <v>1563</v>
      </c>
      <c r="DB113" s="16"/>
      <c r="DC113" s="16"/>
      <c r="DD113" s="12" t="s">
        <v>1564</v>
      </c>
      <c r="DE113" s="7"/>
      <c r="DF113" s="16"/>
      <c r="DG113" s="12" t="s">
        <v>1565</v>
      </c>
      <c r="DH113" s="16"/>
      <c r="DI113" s="83"/>
      <c r="DJ113" s="83"/>
      <c r="DK113" s="7" t="s">
        <v>460</v>
      </c>
      <c r="DL113" s="12" t="s">
        <v>1566</v>
      </c>
      <c r="DM113" s="12" t="s">
        <v>1567</v>
      </c>
      <c r="DN113" s="12" t="s">
        <v>1568</v>
      </c>
      <c r="DO113" s="12" t="s">
        <v>1569</v>
      </c>
      <c r="DP113" s="7"/>
      <c r="DQ113" s="7" t="s">
        <v>1570</v>
      </c>
      <c r="DR113" s="7" t="s">
        <v>1571</v>
      </c>
      <c r="DS113" s="7" t="s">
        <v>1572</v>
      </c>
      <c r="DT113" s="7" t="s">
        <v>1573</v>
      </c>
      <c r="DU113" s="26" t="s">
        <v>1574</v>
      </c>
      <c r="DV113" s="26"/>
      <c r="DW113" s="26" t="s">
        <v>460</v>
      </c>
      <c r="DX113" s="26"/>
      <c r="DY113" s="74" t="s">
        <v>460</v>
      </c>
      <c r="DZ113" s="75"/>
      <c r="EA113" s="7" t="s">
        <v>460</v>
      </c>
    </row>
    <row r="114" spans="1:131" x14ac:dyDescent="0.3">
      <c r="A114" s="7" t="s">
        <v>1575</v>
      </c>
      <c r="B114" s="7"/>
      <c r="C114" s="7"/>
      <c r="D114" s="7"/>
      <c r="E114" s="7"/>
      <c r="F114" s="7"/>
      <c r="G114" s="7"/>
      <c r="H114" s="12"/>
      <c r="I114" s="71">
        <v>1548</v>
      </c>
      <c r="J114" s="41">
        <v>1305</v>
      </c>
      <c r="K114" s="41">
        <v>1462</v>
      </c>
      <c r="L114" s="71">
        <v>1462</v>
      </c>
      <c r="M114" s="41">
        <v>1407</v>
      </c>
      <c r="N114" s="71">
        <v>1546</v>
      </c>
      <c r="O114" s="71">
        <v>1306</v>
      </c>
      <c r="P114" s="71">
        <v>810.83900000000006</v>
      </c>
      <c r="Q114" s="12">
        <v>1328</v>
      </c>
      <c r="R114" s="12">
        <v>472</v>
      </c>
      <c r="S114" s="71">
        <v>1047</v>
      </c>
      <c r="T114" s="12">
        <v>668</v>
      </c>
      <c r="U114" s="12">
        <v>478</v>
      </c>
      <c r="V114" s="12">
        <v>544</v>
      </c>
      <c r="W114" s="12">
        <v>772</v>
      </c>
      <c r="X114" s="46"/>
      <c r="Y114" s="71">
        <v>1321</v>
      </c>
      <c r="Z114" s="71">
        <v>1763</v>
      </c>
      <c r="AA114" s="71">
        <v>1885</v>
      </c>
      <c r="AB114" s="71">
        <v>1293</v>
      </c>
      <c r="AC114" s="12">
        <v>1524</v>
      </c>
      <c r="AD114" s="71">
        <v>1358</v>
      </c>
      <c r="AE114" s="46"/>
      <c r="AF114" s="75"/>
      <c r="AG114" s="119"/>
      <c r="AH114" s="46">
        <v>265</v>
      </c>
      <c r="AI114" s="7">
        <v>0</v>
      </c>
      <c r="AJ114" s="7">
        <v>1</v>
      </c>
      <c r="AK114" s="7">
        <v>1</v>
      </c>
      <c r="AL114" s="7">
        <v>1</v>
      </c>
      <c r="AM114" s="7">
        <v>0</v>
      </c>
      <c r="AN114" s="7">
        <v>1</v>
      </c>
      <c r="AO114" s="7">
        <v>0</v>
      </c>
      <c r="AP114" s="7">
        <v>0</v>
      </c>
      <c r="AQ114" s="7">
        <v>1</v>
      </c>
      <c r="AR114" s="7">
        <v>0</v>
      </c>
      <c r="AS114" s="7">
        <v>0</v>
      </c>
      <c r="AT114" s="7">
        <v>0</v>
      </c>
      <c r="AU114" s="7"/>
      <c r="AV114" s="12"/>
      <c r="AW114" s="12"/>
      <c r="AX114" s="75"/>
      <c r="AY114" s="91"/>
      <c r="AZ114" s="91"/>
      <c r="BA114" s="91"/>
      <c r="BB114" s="75"/>
      <c r="BC114" s="12">
        <v>180</v>
      </c>
      <c r="BD114" s="7">
        <v>0</v>
      </c>
      <c r="BE114" s="12">
        <v>210</v>
      </c>
      <c r="BF114" s="12">
        <v>300</v>
      </c>
      <c r="BG114" s="12">
        <v>545</v>
      </c>
      <c r="BH114" s="12">
        <v>0</v>
      </c>
      <c r="BI114" s="130">
        <v>0</v>
      </c>
      <c r="BJ114" s="64">
        <v>0</v>
      </c>
      <c r="BK114" s="75"/>
      <c r="BL114" s="75"/>
      <c r="BM114" s="91"/>
      <c r="BN114" s="75"/>
      <c r="BO114" s="91"/>
      <c r="BP114" s="7"/>
      <c r="BQ114" s="7" t="s">
        <v>1576</v>
      </c>
      <c r="BR114" s="7"/>
      <c r="BS114" s="7"/>
      <c r="BT114" s="7"/>
      <c r="BU114" s="7" t="s">
        <v>1577</v>
      </c>
      <c r="BV114" s="7"/>
      <c r="BW114" s="7" t="s">
        <v>1578</v>
      </c>
      <c r="BX114" s="12" t="s">
        <v>460</v>
      </c>
      <c r="BY114" s="7" t="s">
        <v>1579</v>
      </c>
      <c r="BZ114" s="7" t="s">
        <v>1580</v>
      </c>
      <c r="CA114" s="27" t="s">
        <v>1581</v>
      </c>
      <c r="CB114" s="7" t="s">
        <v>1582</v>
      </c>
      <c r="CC114" s="112" t="s">
        <v>1583</v>
      </c>
      <c r="CD114" s="7" t="s">
        <v>1584</v>
      </c>
      <c r="CE114" s="7" t="s">
        <v>1585</v>
      </c>
      <c r="CF114" s="12"/>
      <c r="CG114" s="7" t="s">
        <v>1586</v>
      </c>
      <c r="CH114" s="27" t="s">
        <v>1587</v>
      </c>
      <c r="CI114" s="27" t="s">
        <v>1588</v>
      </c>
      <c r="CJ114" s="12" t="s">
        <v>1589</v>
      </c>
      <c r="CK114" s="75"/>
      <c r="CL114" s="12" t="s">
        <v>1590</v>
      </c>
      <c r="CM114" s="75"/>
      <c r="CN114" s="12" t="s">
        <v>460</v>
      </c>
      <c r="CO114" s="7" t="s">
        <v>1591</v>
      </c>
      <c r="CP114" s="7" t="s">
        <v>1584</v>
      </c>
      <c r="CQ114" s="7" t="s">
        <v>1584</v>
      </c>
      <c r="CR114" s="12" t="s">
        <v>1592</v>
      </c>
      <c r="CS114" s="12" t="s">
        <v>1593</v>
      </c>
      <c r="CT114" s="7" t="s">
        <v>1594</v>
      </c>
      <c r="CU114" s="7" t="s">
        <v>1595</v>
      </c>
      <c r="CV114" s="10">
        <v>57</v>
      </c>
      <c r="CW114" s="10"/>
      <c r="CX114" s="10">
        <v>76</v>
      </c>
      <c r="CY114" s="10"/>
      <c r="CZ114" s="10"/>
      <c r="DA114" s="10">
        <v>37</v>
      </c>
      <c r="DB114" s="16"/>
      <c r="DC114" s="16"/>
      <c r="DD114" s="12">
        <v>57</v>
      </c>
      <c r="DE114" s="7"/>
      <c r="DF114" s="16"/>
      <c r="DG114" s="12">
        <v>62</v>
      </c>
      <c r="DH114" s="16"/>
      <c r="DI114" s="83"/>
      <c r="DJ114" s="83"/>
      <c r="DK114" s="7"/>
      <c r="DL114" s="12">
        <v>29</v>
      </c>
      <c r="DM114" s="12">
        <v>26</v>
      </c>
      <c r="DN114" s="12">
        <v>33</v>
      </c>
      <c r="DO114" s="12">
        <v>50</v>
      </c>
      <c r="DP114" s="69"/>
      <c r="DQ114" s="69">
        <v>48</v>
      </c>
      <c r="DR114" s="7">
        <v>73</v>
      </c>
      <c r="DS114" s="7">
        <v>46</v>
      </c>
      <c r="DT114" s="7">
        <v>37</v>
      </c>
      <c r="DU114" s="26">
        <v>55</v>
      </c>
      <c r="DV114" s="26"/>
      <c r="DW114" s="26"/>
      <c r="DX114" s="26"/>
      <c r="DY114" s="74"/>
      <c r="DZ114" s="75"/>
      <c r="EA114" s="7"/>
    </row>
    <row r="115" spans="1:131" x14ac:dyDescent="0.3">
      <c r="A115" s="131" t="s">
        <v>1596</v>
      </c>
      <c r="B115" s="7"/>
      <c r="C115" s="7"/>
      <c r="D115" s="7"/>
      <c r="E115" s="7"/>
      <c r="F115" s="7"/>
      <c r="G115" s="7"/>
      <c r="H115" s="12"/>
      <c r="I115" s="12"/>
      <c r="J115" s="75"/>
      <c r="K115" s="75"/>
      <c r="M115" s="75"/>
      <c r="N115" s="7"/>
      <c r="O115" s="7"/>
      <c r="P115" s="7"/>
      <c r="Q115" s="12"/>
      <c r="R115" s="119"/>
      <c r="S115" s="75"/>
      <c r="T115" s="91"/>
      <c r="U115" s="91"/>
      <c r="V115" s="91"/>
      <c r="W115" s="91"/>
      <c r="X115" s="46"/>
      <c r="Y115" s="75"/>
      <c r="Z115" s="75"/>
      <c r="AA115" s="75"/>
      <c r="AB115" s="75"/>
      <c r="AC115" s="119"/>
      <c r="AD115" s="75"/>
      <c r="AE115" s="46"/>
      <c r="AF115" s="75"/>
      <c r="AG115" s="119"/>
      <c r="AH115" s="75"/>
      <c r="AI115" s="71">
        <v>0</v>
      </c>
      <c r="AJ115" s="71">
        <v>70</v>
      </c>
      <c r="AK115" s="71">
        <v>50</v>
      </c>
      <c r="AL115" s="71">
        <v>0</v>
      </c>
      <c r="AM115" s="71">
        <v>0</v>
      </c>
      <c r="AN115" s="71"/>
      <c r="AO115" s="71">
        <v>150</v>
      </c>
      <c r="AP115" s="71">
        <v>0</v>
      </c>
      <c r="AQ115" s="71">
        <v>0</v>
      </c>
      <c r="AR115" s="71">
        <v>0</v>
      </c>
      <c r="AS115" s="71">
        <v>30</v>
      </c>
      <c r="AT115" s="71">
        <v>0</v>
      </c>
      <c r="AU115" s="71"/>
      <c r="AV115" s="12"/>
      <c r="AW115" s="12"/>
      <c r="AX115" s="75"/>
      <c r="AY115" s="91"/>
      <c r="AZ115" s="91"/>
      <c r="BA115" s="91"/>
      <c r="BB115" s="75"/>
      <c r="BC115" s="12">
        <v>0</v>
      </c>
      <c r="BD115" s="7">
        <v>0</v>
      </c>
      <c r="BE115" s="12">
        <v>0</v>
      </c>
      <c r="BF115" s="12">
        <v>0</v>
      </c>
      <c r="BG115" s="12">
        <v>0</v>
      </c>
      <c r="BH115" s="12">
        <v>0</v>
      </c>
      <c r="BI115" s="130">
        <v>0</v>
      </c>
      <c r="BJ115" s="64">
        <f>99+122+63</f>
        <v>284</v>
      </c>
      <c r="BK115" s="75"/>
      <c r="BL115" s="75"/>
      <c r="BM115" s="91"/>
      <c r="BN115" s="75"/>
      <c r="BO115" s="91"/>
      <c r="BP115" s="7"/>
      <c r="BQ115" s="7">
        <v>49</v>
      </c>
      <c r="BR115" s="7"/>
      <c r="BS115" s="7"/>
      <c r="BT115" s="7"/>
      <c r="BU115" s="7">
        <v>56</v>
      </c>
      <c r="BV115" s="7"/>
      <c r="BW115" s="7" t="s">
        <v>460</v>
      </c>
      <c r="BX115" s="12"/>
      <c r="BY115" s="7">
        <v>24</v>
      </c>
      <c r="BZ115" s="7">
        <v>27</v>
      </c>
      <c r="CA115" s="7">
        <v>55</v>
      </c>
      <c r="CB115" s="7">
        <v>47</v>
      </c>
      <c r="CC115" s="12">
        <v>46</v>
      </c>
      <c r="CD115" s="75"/>
      <c r="CE115" s="7"/>
      <c r="CF115" s="12"/>
      <c r="CG115" s="7">
        <v>0</v>
      </c>
      <c r="CH115" s="7">
        <v>52</v>
      </c>
      <c r="CI115" s="7">
        <v>38</v>
      </c>
      <c r="CJ115" s="12">
        <v>35</v>
      </c>
      <c r="CK115" s="75"/>
      <c r="CL115" s="12">
        <v>53</v>
      </c>
      <c r="CM115" s="75"/>
      <c r="CN115" s="12"/>
      <c r="CO115" s="7">
        <v>40</v>
      </c>
      <c r="CP115" s="75"/>
      <c r="CQ115" s="75"/>
      <c r="CR115" s="12">
        <v>47</v>
      </c>
      <c r="CS115" s="12">
        <v>38</v>
      </c>
      <c r="CT115" s="7">
        <v>33</v>
      </c>
      <c r="CU115" s="7">
        <v>56</v>
      </c>
      <c r="CV115" s="10" t="s">
        <v>1597</v>
      </c>
      <c r="CW115" s="10" t="s">
        <v>1597</v>
      </c>
      <c r="CX115" s="10" t="s">
        <v>460</v>
      </c>
      <c r="CY115" s="10" t="s">
        <v>1597</v>
      </c>
      <c r="CZ115" s="10" t="s">
        <v>1597</v>
      </c>
      <c r="DA115" s="10" t="s">
        <v>1597</v>
      </c>
      <c r="DB115" s="16"/>
      <c r="DC115" s="16"/>
      <c r="DD115" s="12"/>
      <c r="DE115" s="7" t="s">
        <v>1597</v>
      </c>
      <c r="DF115" s="16"/>
      <c r="DG115" s="12"/>
      <c r="DH115" s="16"/>
      <c r="DI115" s="83"/>
      <c r="DJ115" s="83"/>
      <c r="DK115" s="7" t="s">
        <v>1598</v>
      </c>
      <c r="DL115" s="12" t="s">
        <v>460</v>
      </c>
      <c r="DM115" s="12" t="s">
        <v>1597</v>
      </c>
      <c r="DN115" s="12" t="s">
        <v>1599</v>
      </c>
      <c r="DO115" s="12" t="s">
        <v>1597</v>
      </c>
      <c r="DP115" s="7"/>
      <c r="DQ115" s="7" t="s">
        <v>1599</v>
      </c>
      <c r="DR115" s="7" t="s">
        <v>460</v>
      </c>
      <c r="DS115" s="7" t="s">
        <v>1597</v>
      </c>
      <c r="DT115" s="7" t="s">
        <v>1599</v>
      </c>
      <c r="DU115" s="26" t="s">
        <v>1600</v>
      </c>
      <c r="DV115" s="26"/>
      <c r="DW115" s="26" t="s">
        <v>460</v>
      </c>
      <c r="DX115" s="26"/>
      <c r="DY115" s="74" t="s">
        <v>1600</v>
      </c>
      <c r="DZ115" s="75"/>
      <c r="EA115" s="7" t="s">
        <v>1601</v>
      </c>
    </row>
    <row r="116" spans="1:131" ht="28.8" x14ac:dyDescent="0.3">
      <c r="A116" s="9" t="s">
        <v>1602</v>
      </c>
      <c r="B116" s="7"/>
      <c r="C116" s="7" t="s">
        <v>1603</v>
      </c>
      <c r="D116" s="7" t="s">
        <v>1604</v>
      </c>
      <c r="E116" s="7"/>
      <c r="F116" s="7" t="s">
        <v>1605</v>
      </c>
      <c r="G116" s="7"/>
      <c r="H116" s="12" t="s">
        <v>1606</v>
      </c>
      <c r="I116" s="12" t="s">
        <v>1607</v>
      </c>
      <c r="J116" s="7" t="s">
        <v>460</v>
      </c>
      <c r="K116" s="7" t="s">
        <v>460</v>
      </c>
      <c r="L116" s="12" t="s">
        <v>1608</v>
      </c>
      <c r="M116" s="7" t="s">
        <v>1584</v>
      </c>
      <c r="N116" s="7" t="s">
        <v>1609</v>
      </c>
      <c r="O116" s="7" t="s">
        <v>1610</v>
      </c>
      <c r="P116" s="7" t="s">
        <v>1611</v>
      </c>
      <c r="Q116" s="7" t="s">
        <v>460</v>
      </c>
      <c r="R116" s="12" t="s">
        <v>1612</v>
      </c>
      <c r="S116" s="7" t="s">
        <v>460</v>
      </c>
      <c r="T116" s="12" t="s">
        <v>460</v>
      </c>
      <c r="U116" s="7" t="s">
        <v>1613</v>
      </c>
      <c r="V116" s="7"/>
      <c r="W116" s="12" t="s">
        <v>1614</v>
      </c>
      <c r="X116" s="10" t="s">
        <v>1615</v>
      </c>
      <c r="Y116" s="75"/>
      <c r="Z116" s="10" t="s">
        <v>1616</v>
      </c>
      <c r="AA116" s="10"/>
      <c r="AB116" s="10" t="s">
        <v>1617</v>
      </c>
      <c r="AC116" s="81" t="s">
        <v>1618</v>
      </c>
      <c r="AD116" s="10" t="s">
        <v>1619</v>
      </c>
      <c r="AE116" s="7" t="s">
        <v>460</v>
      </c>
      <c r="AF116" s="7" t="s">
        <v>1620</v>
      </c>
      <c r="AG116" s="12" t="s">
        <v>460</v>
      </c>
      <c r="AH116" s="7" t="s">
        <v>460</v>
      </c>
      <c r="AI116" s="7">
        <v>0</v>
      </c>
      <c r="AJ116" s="7">
        <v>1</v>
      </c>
      <c r="AK116" s="7">
        <v>1</v>
      </c>
      <c r="AL116" s="7">
        <v>0</v>
      </c>
      <c r="AM116" s="7">
        <v>0</v>
      </c>
      <c r="AN116" s="7"/>
      <c r="AO116" s="7">
        <v>1</v>
      </c>
      <c r="AP116" s="7">
        <v>0</v>
      </c>
      <c r="AQ116" s="7">
        <v>0</v>
      </c>
      <c r="AR116" s="7">
        <v>0</v>
      </c>
      <c r="AS116" s="7">
        <v>1</v>
      </c>
      <c r="AT116" s="7">
        <v>0</v>
      </c>
      <c r="AU116" s="7"/>
      <c r="AV116" s="12"/>
      <c r="AW116" s="12"/>
      <c r="AX116" s="75"/>
      <c r="AY116" s="91"/>
      <c r="AZ116" s="91"/>
      <c r="BA116" s="91"/>
      <c r="BB116" s="75"/>
      <c r="BC116" s="70">
        <f>180+451+498</f>
        <v>1129</v>
      </c>
      <c r="BD116" s="41">
        <f>462+86</f>
        <v>548</v>
      </c>
      <c r="BE116" s="45">
        <v>135</v>
      </c>
      <c r="BF116" s="12">
        <v>450</v>
      </c>
      <c r="BG116" s="12">
        <v>125</v>
      </c>
      <c r="BH116" s="12">
        <f>237+442</f>
        <v>679</v>
      </c>
      <c r="BI116" s="130">
        <v>432</v>
      </c>
      <c r="BJ116" s="64">
        <f>300+92+85</f>
        <v>477</v>
      </c>
      <c r="BK116" s="75"/>
      <c r="BL116" s="75"/>
      <c r="BM116" s="91"/>
      <c r="BN116" s="75"/>
      <c r="BO116" s="91"/>
      <c r="BP116" s="7"/>
      <c r="BQ116" s="7" t="s">
        <v>1621</v>
      </c>
      <c r="BR116" s="7" t="s">
        <v>1600</v>
      </c>
      <c r="BS116" s="7"/>
      <c r="BT116" s="7"/>
      <c r="BU116" s="7" t="s">
        <v>1621</v>
      </c>
      <c r="BV116" s="7"/>
      <c r="BW116" s="7" t="s">
        <v>1622</v>
      </c>
      <c r="BX116" s="12" t="s">
        <v>1598</v>
      </c>
      <c r="BY116" s="7" t="s">
        <v>1623</v>
      </c>
      <c r="BZ116" s="75"/>
      <c r="CA116" s="7" t="s">
        <v>1597</v>
      </c>
      <c r="CB116" s="7" t="s">
        <v>1597</v>
      </c>
      <c r="CC116" s="12" t="s">
        <v>1599</v>
      </c>
      <c r="CD116" s="75"/>
      <c r="CE116" s="7"/>
      <c r="CF116" s="12"/>
      <c r="CG116" s="7" t="s">
        <v>1624</v>
      </c>
      <c r="CH116" s="7" t="s">
        <v>1623</v>
      </c>
      <c r="CI116" s="7" t="s">
        <v>1597</v>
      </c>
      <c r="CJ116" s="12" t="s">
        <v>1599</v>
      </c>
      <c r="CK116" s="75"/>
      <c r="CL116" s="12">
        <v>0</v>
      </c>
      <c r="CM116" s="75"/>
      <c r="CN116" s="12" t="s">
        <v>1625</v>
      </c>
      <c r="CO116" s="7" t="s">
        <v>1599</v>
      </c>
      <c r="CP116" s="75"/>
      <c r="CQ116" s="75"/>
      <c r="CR116" s="12" t="s">
        <v>1599</v>
      </c>
      <c r="CS116" s="12" t="s">
        <v>1600</v>
      </c>
      <c r="CT116" s="7" t="s">
        <v>1600</v>
      </c>
      <c r="CU116" s="7" t="s">
        <v>1621</v>
      </c>
      <c r="CV116" s="10" t="s">
        <v>1626</v>
      </c>
      <c r="CW116" s="10" t="s">
        <v>1627</v>
      </c>
      <c r="CX116" s="10"/>
      <c r="CY116" s="10" t="s">
        <v>1628</v>
      </c>
      <c r="CZ116" s="10" t="s">
        <v>1629</v>
      </c>
      <c r="DA116" s="10" t="s">
        <v>1630</v>
      </c>
      <c r="DB116" s="16"/>
      <c r="DC116" s="16"/>
      <c r="DD116" s="12"/>
      <c r="DE116" s="7" t="s">
        <v>1631</v>
      </c>
      <c r="DF116" s="16"/>
      <c r="DG116" s="12"/>
      <c r="DH116" s="16"/>
      <c r="DI116" s="83"/>
      <c r="DJ116" s="83"/>
      <c r="DK116" s="7" t="s">
        <v>1632</v>
      </c>
      <c r="DL116" s="12"/>
      <c r="DM116" s="12" t="s">
        <v>1633</v>
      </c>
      <c r="DN116" s="12" t="s">
        <v>1634</v>
      </c>
      <c r="DO116" s="12" t="s">
        <v>1635</v>
      </c>
      <c r="DP116" s="7"/>
      <c r="DQ116" s="7" t="s">
        <v>1636</v>
      </c>
      <c r="DR116" s="7"/>
      <c r="DS116" s="7" t="s">
        <v>1637</v>
      </c>
      <c r="DT116" s="7" t="s">
        <v>1638</v>
      </c>
      <c r="DU116" s="26" t="s">
        <v>1639</v>
      </c>
      <c r="DV116" s="26"/>
      <c r="DW116" s="26"/>
      <c r="DX116" s="26"/>
      <c r="DY116" s="74" t="s">
        <v>1640</v>
      </c>
      <c r="DZ116" s="75"/>
      <c r="EA116" s="7" t="s">
        <v>1641</v>
      </c>
    </row>
    <row r="117" spans="1:131" x14ac:dyDescent="0.3">
      <c r="A117" s="9" t="s">
        <v>1642</v>
      </c>
      <c r="B117" s="7"/>
      <c r="C117" s="7">
        <v>57</v>
      </c>
      <c r="D117" s="7">
        <v>55</v>
      </c>
      <c r="E117" s="7"/>
      <c r="F117" s="7">
        <v>21</v>
      </c>
      <c r="G117" s="7"/>
      <c r="H117" s="12">
        <v>64</v>
      </c>
      <c r="I117" s="12">
        <v>60</v>
      </c>
      <c r="J117" s="7"/>
      <c r="K117" s="7"/>
      <c r="L117" s="12">
        <v>53</v>
      </c>
      <c r="M117" s="7"/>
      <c r="N117" s="7"/>
      <c r="O117" s="7"/>
      <c r="P117" s="7">
        <v>42</v>
      </c>
      <c r="Q117" s="7"/>
      <c r="R117" s="12">
        <v>47</v>
      </c>
      <c r="S117" s="7"/>
      <c r="T117" s="12"/>
      <c r="U117" s="7">
        <v>36</v>
      </c>
      <c r="V117" s="7"/>
      <c r="W117" s="12">
        <v>60</v>
      </c>
      <c r="X117" s="10">
        <v>54</v>
      </c>
      <c r="Y117" s="75"/>
      <c r="Z117" s="10">
        <v>45</v>
      </c>
      <c r="AA117" s="10"/>
      <c r="AB117" s="10">
        <v>38</v>
      </c>
      <c r="AC117" s="81">
        <v>45</v>
      </c>
      <c r="AD117" s="10">
        <v>47</v>
      </c>
      <c r="AE117" s="7"/>
      <c r="AF117" s="7">
        <v>44</v>
      </c>
      <c r="AG117" s="12"/>
      <c r="AH117" s="7"/>
      <c r="AI117" s="71">
        <v>0</v>
      </c>
      <c r="AJ117" s="71">
        <v>0</v>
      </c>
      <c r="AK117" s="71">
        <v>100</v>
      </c>
      <c r="AL117" s="71">
        <v>812</v>
      </c>
      <c r="AM117" s="71">
        <v>4000</v>
      </c>
      <c r="AN117" s="71">
        <v>674</v>
      </c>
      <c r="AO117" s="71">
        <v>1200</v>
      </c>
      <c r="AP117" s="71">
        <v>0</v>
      </c>
      <c r="AQ117" s="71">
        <v>1540</v>
      </c>
      <c r="AR117" s="71">
        <v>740</v>
      </c>
      <c r="AS117" s="71">
        <v>1189</v>
      </c>
      <c r="AT117" s="71">
        <v>660</v>
      </c>
      <c r="AU117" s="71"/>
      <c r="AV117" s="12"/>
      <c r="AW117" s="12"/>
      <c r="AX117" s="75"/>
      <c r="AY117" s="91"/>
      <c r="AZ117" s="91"/>
      <c r="BA117" s="91"/>
      <c r="BB117" s="75"/>
      <c r="BC117" s="7"/>
      <c r="BD117" s="46"/>
      <c r="BE117" s="46"/>
      <c r="BF117" s="46"/>
      <c r="BG117" s="75"/>
      <c r="BH117" s="91"/>
      <c r="BI117" s="132"/>
      <c r="BJ117" s="75"/>
      <c r="BK117" s="75"/>
      <c r="BL117" s="75"/>
      <c r="BM117" s="91"/>
      <c r="BN117" s="75"/>
      <c r="BO117" s="91"/>
      <c r="BP117" s="7"/>
      <c r="BQ117" s="7" t="s">
        <v>1643</v>
      </c>
      <c r="BR117" s="7" t="s">
        <v>1644</v>
      </c>
      <c r="BS117" s="7"/>
      <c r="BT117" s="7"/>
      <c r="BU117" s="7" t="s">
        <v>1645</v>
      </c>
      <c r="BV117" s="7"/>
      <c r="BW117" s="7" t="s">
        <v>1646</v>
      </c>
      <c r="BX117" s="12" t="s">
        <v>1647</v>
      </c>
      <c r="BY117" s="7" t="s">
        <v>1648</v>
      </c>
      <c r="BZ117" s="75"/>
      <c r="CA117" s="7" t="s">
        <v>1649</v>
      </c>
      <c r="CB117" s="7" t="s">
        <v>1650</v>
      </c>
      <c r="CC117" s="12" t="s">
        <v>1651</v>
      </c>
      <c r="CD117" s="75"/>
      <c r="CE117" s="7"/>
      <c r="CF117" s="12"/>
      <c r="CG117" s="7" t="s">
        <v>1652</v>
      </c>
      <c r="CH117" s="7" t="s">
        <v>1653</v>
      </c>
      <c r="CI117" s="7" t="s">
        <v>1654</v>
      </c>
      <c r="CJ117" s="12" t="s">
        <v>1655</v>
      </c>
      <c r="CK117" s="75"/>
      <c r="CL117" s="12"/>
      <c r="CM117" s="75"/>
      <c r="CN117" s="12" t="s">
        <v>1656</v>
      </c>
      <c r="CO117" s="7" t="s">
        <v>1657</v>
      </c>
      <c r="CP117" s="75"/>
      <c r="CQ117" s="75"/>
      <c r="CR117" s="12" t="s">
        <v>1658</v>
      </c>
      <c r="CS117" s="12" t="s">
        <v>1659</v>
      </c>
      <c r="CT117" s="7" t="s">
        <v>1660</v>
      </c>
      <c r="CU117" s="7" t="s">
        <v>1661</v>
      </c>
      <c r="CV117" s="10">
        <v>31</v>
      </c>
      <c r="CW117" s="10">
        <v>11</v>
      </c>
      <c r="CX117" s="10"/>
      <c r="CY117" s="10">
        <v>18</v>
      </c>
      <c r="CZ117" s="10">
        <v>37</v>
      </c>
      <c r="DA117" s="10">
        <v>17</v>
      </c>
      <c r="DB117" s="16"/>
      <c r="DC117" s="16"/>
      <c r="DD117" s="12"/>
      <c r="DE117" s="7">
        <v>11</v>
      </c>
      <c r="DF117" s="16"/>
      <c r="DG117" s="12"/>
      <c r="DH117" s="16"/>
      <c r="DI117" s="83"/>
      <c r="DJ117" s="83"/>
      <c r="DK117" s="7">
        <v>79</v>
      </c>
      <c r="DL117" s="12"/>
      <c r="DM117" s="12">
        <v>8</v>
      </c>
      <c r="DN117" s="12">
        <v>11</v>
      </c>
      <c r="DO117" s="12">
        <v>30</v>
      </c>
      <c r="DP117" s="7"/>
      <c r="DQ117" s="7">
        <v>25</v>
      </c>
      <c r="DR117" s="7"/>
      <c r="DS117" s="7">
        <v>28</v>
      </c>
      <c r="DT117" s="7">
        <v>19</v>
      </c>
      <c r="DU117" s="26">
        <v>28</v>
      </c>
      <c r="DV117" s="26"/>
      <c r="DW117" s="26"/>
      <c r="DX117" s="26"/>
      <c r="DY117" s="74">
        <v>33</v>
      </c>
      <c r="DZ117" s="75"/>
      <c r="EA117" s="7">
        <v>80</v>
      </c>
    </row>
    <row r="118" spans="1:131" x14ac:dyDescent="0.3">
      <c r="A118" s="9" t="s">
        <v>1662</v>
      </c>
      <c r="B118" s="7"/>
      <c r="C118" s="7" t="s">
        <v>1599</v>
      </c>
      <c r="D118" s="7" t="s">
        <v>1597</v>
      </c>
      <c r="E118" s="7" t="s">
        <v>1599</v>
      </c>
      <c r="F118" s="7" t="s">
        <v>1597</v>
      </c>
      <c r="G118" s="7" t="s">
        <v>1597</v>
      </c>
      <c r="H118" s="12" t="s">
        <v>1599</v>
      </c>
      <c r="I118" s="12" t="s">
        <v>1597</v>
      </c>
      <c r="J118" s="7" t="s">
        <v>1599</v>
      </c>
      <c r="K118" s="7" t="s">
        <v>1663</v>
      </c>
      <c r="L118" s="12" t="s">
        <v>1597</v>
      </c>
      <c r="M118" s="7"/>
      <c r="N118" s="7" t="s">
        <v>1599</v>
      </c>
      <c r="O118" s="7"/>
      <c r="P118" s="7" t="s">
        <v>1597</v>
      </c>
      <c r="Q118" s="7" t="s">
        <v>1664</v>
      </c>
      <c r="R118" s="12" t="s">
        <v>1600</v>
      </c>
      <c r="S118" s="7" t="s">
        <v>1597</v>
      </c>
      <c r="T118" s="7" t="s">
        <v>1599</v>
      </c>
      <c r="U118" s="7" t="s">
        <v>1600</v>
      </c>
      <c r="V118" s="7" t="s">
        <v>1663</v>
      </c>
      <c r="W118" s="112" t="s">
        <v>1665</v>
      </c>
      <c r="X118" s="10" t="s">
        <v>1599</v>
      </c>
      <c r="Y118" s="75"/>
      <c r="Z118" s="10" t="s">
        <v>1597</v>
      </c>
      <c r="AA118" s="10" t="s">
        <v>1599</v>
      </c>
      <c r="AB118" s="10" t="s">
        <v>1597</v>
      </c>
      <c r="AC118" s="81" t="s">
        <v>1597</v>
      </c>
      <c r="AD118" s="10" t="s">
        <v>1600</v>
      </c>
      <c r="AE118" s="7"/>
      <c r="AF118" s="7" t="s">
        <v>1597</v>
      </c>
      <c r="AG118" s="12" t="s">
        <v>1666</v>
      </c>
      <c r="AH118" s="7" t="s">
        <v>1599</v>
      </c>
      <c r="AI118" s="7">
        <v>850</v>
      </c>
      <c r="AJ118" s="7">
        <v>700</v>
      </c>
      <c r="AK118" s="7">
        <v>960</v>
      </c>
      <c r="AL118" s="7"/>
      <c r="AM118" s="7">
        <v>0</v>
      </c>
      <c r="AN118" s="7">
        <v>1500</v>
      </c>
      <c r="AO118" s="7"/>
      <c r="AP118" s="7">
        <v>75</v>
      </c>
      <c r="AQ118" s="7">
        <v>1200</v>
      </c>
      <c r="AR118" s="7">
        <v>500</v>
      </c>
      <c r="AS118" s="7">
        <v>458</v>
      </c>
      <c r="AT118" s="7">
        <v>470</v>
      </c>
      <c r="AU118" s="7"/>
      <c r="AV118" s="12"/>
      <c r="AW118" s="12"/>
      <c r="AX118" s="75"/>
      <c r="AY118" s="91"/>
      <c r="AZ118" s="91"/>
      <c r="BA118" s="91"/>
      <c r="BB118" s="75"/>
      <c r="BC118" s="9"/>
      <c r="BD118" s="75"/>
      <c r="BE118" s="75"/>
      <c r="BF118" s="75"/>
      <c r="BG118" s="75"/>
      <c r="BH118" s="91"/>
      <c r="BI118" s="75"/>
      <c r="BJ118" s="75"/>
      <c r="BK118" s="75"/>
      <c r="BL118" s="75"/>
      <c r="BM118" s="91"/>
      <c r="BN118" s="75"/>
      <c r="BO118" s="91"/>
      <c r="BP118" s="7"/>
      <c r="BQ118" s="7">
        <v>22</v>
      </c>
      <c r="BR118" s="7"/>
      <c r="BS118" s="7"/>
      <c r="BT118" s="7"/>
      <c r="BU118" s="7">
        <v>26</v>
      </c>
      <c r="BV118" s="7"/>
      <c r="BW118" s="7">
        <v>60</v>
      </c>
      <c r="BX118" s="12">
        <v>53</v>
      </c>
      <c r="BY118" s="7">
        <v>45</v>
      </c>
      <c r="BZ118" s="75"/>
      <c r="CA118" s="7">
        <v>29</v>
      </c>
      <c r="CB118" s="7">
        <v>13</v>
      </c>
      <c r="CC118" s="12">
        <v>14</v>
      </c>
      <c r="CD118" s="75"/>
      <c r="CE118" s="133"/>
      <c r="CF118" s="12"/>
      <c r="CG118" s="7">
        <v>64</v>
      </c>
      <c r="CH118" s="7">
        <v>76</v>
      </c>
      <c r="CI118" s="7">
        <v>26</v>
      </c>
      <c r="CJ118" s="12">
        <v>24</v>
      </c>
      <c r="CK118" s="75"/>
      <c r="CL118" s="12"/>
      <c r="CM118" s="75"/>
      <c r="CN118" s="12">
        <v>23</v>
      </c>
      <c r="CO118" s="7">
        <v>20</v>
      </c>
      <c r="CP118" s="75"/>
      <c r="CQ118" s="75"/>
      <c r="CR118" s="12">
        <v>13</v>
      </c>
      <c r="CS118" s="12">
        <v>13</v>
      </c>
      <c r="CT118" s="7">
        <v>16</v>
      </c>
      <c r="CU118" s="7">
        <v>33</v>
      </c>
      <c r="CV118" s="10" t="s">
        <v>1597</v>
      </c>
      <c r="CW118" s="10" t="s">
        <v>460</v>
      </c>
      <c r="CX118" s="10" t="s">
        <v>460</v>
      </c>
      <c r="CY118" s="10"/>
      <c r="CZ118" s="10" t="s">
        <v>1625</v>
      </c>
      <c r="DA118" s="10" t="s">
        <v>1597</v>
      </c>
      <c r="DB118" s="16"/>
      <c r="DC118" s="16"/>
      <c r="DD118" s="12"/>
      <c r="DE118" s="7"/>
      <c r="DF118" s="16"/>
      <c r="DG118" s="12"/>
      <c r="DH118" s="16"/>
      <c r="DI118" s="83"/>
      <c r="DJ118" s="83"/>
      <c r="DK118" s="7"/>
      <c r="DL118" s="12" t="s">
        <v>460</v>
      </c>
      <c r="DM118" s="12" t="s">
        <v>1597</v>
      </c>
      <c r="DN118" s="12" t="s">
        <v>460</v>
      </c>
      <c r="DO118" s="12" t="s">
        <v>1599</v>
      </c>
      <c r="DP118" s="7"/>
      <c r="DQ118" s="7" t="s">
        <v>1667</v>
      </c>
      <c r="DR118" s="7" t="s">
        <v>460</v>
      </c>
      <c r="DS118" s="7" t="s">
        <v>1597</v>
      </c>
      <c r="DT118" s="7" t="s">
        <v>1597</v>
      </c>
      <c r="DU118" s="26" t="s">
        <v>460</v>
      </c>
      <c r="DV118" s="26"/>
      <c r="DW118" s="26"/>
      <c r="DX118" s="26"/>
      <c r="DY118" s="74" t="s">
        <v>460</v>
      </c>
      <c r="DZ118" s="75"/>
      <c r="EA118" s="7" t="s">
        <v>1623</v>
      </c>
    </row>
    <row r="119" spans="1:131" ht="28.8" x14ac:dyDescent="0.3">
      <c r="A119" s="9" t="s">
        <v>1668</v>
      </c>
      <c r="B119" s="7"/>
      <c r="C119" s="7" t="s">
        <v>1669</v>
      </c>
      <c r="D119" s="7" t="s">
        <v>1670</v>
      </c>
      <c r="E119" s="7" t="s">
        <v>1671</v>
      </c>
      <c r="F119" s="7" t="s">
        <v>1672</v>
      </c>
      <c r="G119" s="7" t="s">
        <v>1673</v>
      </c>
      <c r="H119" s="12" t="s">
        <v>1674</v>
      </c>
      <c r="I119" s="12" t="s">
        <v>1675</v>
      </c>
      <c r="J119" s="7" t="s">
        <v>1676</v>
      </c>
      <c r="K119" s="7" t="s">
        <v>1677</v>
      </c>
      <c r="L119" s="12" t="s">
        <v>1678</v>
      </c>
      <c r="M119" s="7"/>
      <c r="N119" s="7" t="s">
        <v>1679</v>
      </c>
      <c r="O119" s="7"/>
      <c r="P119" s="7" t="s">
        <v>1680</v>
      </c>
      <c r="Q119" s="7" t="s">
        <v>1681</v>
      </c>
      <c r="R119" s="12" t="s">
        <v>1682</v>
      </c>
      <c r="S119" s="7" t="s">
        <v>1683</v>
      </c>
      <c r="T119" s="7" t="s">
        <v>1684</v>
      </c>
      <c r="U119" s="7" t="s">
        <v>1685</v>
      </c>
      <c r="V119" s="7" t="s">
        <v>1686</v>
      </c>
      <c r="W119" s="12" t="s">
        <v>1687</v>
      </c>
      <c r="X119" s="10" t="s">
        <v>1688</v>
      </c>
      <c r="Y119" s="75"/>
      <c r="Z119" s="10" t="s">
        <v>1689</v>
      </c>
      <c r="AA119" s="10" t="s">
        <v>1690</v>
      </c>
      <c r="AB119" s="10" t="s">
        <v>1691</v>
      </c>
      <c r="AC119" s="81" t="s">
        <v>1692</v>
      </c>
      <c r="AD119" s="10" t="s">
        <v>1693</v>
      </c>
      <c r="AE119" s="7"/>
      <c r="AF119" s="7" t="s">
        <v>1694</v>
      </c>
      <c r="AG119" s="12" t="s">
        <v>1695</v>
      </c>
      <c r="AH119" s="7" t="s">
        <v>1696</v>
      </c>
      <c r="AI119" s="71">
        <v>819</v>
      </c>
      <c r="AJ119" s="71">
        <v>2000</v>
      </c>
      <c r="AK119" s="71">
        <v>1099</v>
      </c>
      <c r="AL119" s="71">
        <v>1745</v>
      </c>
      <c r="AM119" s="71">
        <v>1644</v>
      </c>
      <c r="AN119" s="71">
        <v>1358</v>
      </c>
      <c r="AO119" s="71">
        <v>1044</v>
      </c>
      <c r="AP119" s="71">
        <v>209.91</v>
      </c>
      <c r="AQ119" s="71">
        <v>1452</v>
      </c>
      <c r="AR119" s="71">
        <v>1201</v>
      </c>
      <c r="AS119" s="71">
        <v>1081</v>
      </c>
      <c r="AT119" s="71">
        <v>1023</v>
      </c>
      <c r="AU119" s="71"/>
      <c r="AV119" s="12"/>
      <c r="AW119" s="12"/>
      <c r="AX119" s="75"/>
      <c r="AY119" s="91"/>
      <c r="AZ119" s="91"/>
      <c r="BA119" s="91"/>
      <c r="BB119" s="75"/>
      <c r="BC119" s="9"/>
      <c r="BD119" s="75"/>
      <c r="BE119" s="75"/>
      <c r="BF119" s="75"/>
      <c r="BG119" s="75"/>
      <c r="BH119" s="91"/>
      <c r="BI119" s="75"/>
      <c r="BJ119" s="75"/>
      <c r="BK119" s="75"/>
      <c r="BL119" s="75"/>
      <c r="BM119" s="91"/>
      <c r="BN119" s="75"/>
      <c r="BO119" s="91"/>
      <c r="BP119" s="7"/>
      <c r="BQ119" s="7" t="s">
        <v>1600</v>
      </c>
      <c r="BR119" s="7"/>
      <c r="BS119" s="7"/>
      <c r="BT119" s="7"/>
      <c r="BU119" s="7" t="s">
        <v>1621</v>
      </c>
      <c r="BV119" s="7" t="s">
        <v>460</v>
      </c>
      <c r="BW119" s="7" t="s">
        <v>1697</v>
      </c>
      <c r="BX119" s="12" t="s">
        <v>1698</v>
      </c>
      <c r="BY119" s="7" t="s">
        <v>1699</v>
      </c>
      <c r="BZ119" s="75"/>
      <c r="CA119" s="7"/>
      <c r="CB119" s="7" t="s">
        <v>1599</v>
      </c>
      <c r="CC119" s="12" t="s">
        <v>460</v>
      </c>
      <c r="CD119" s="75"/>
      <c r="CE119" s="133"/>
      <c r="CF119" s="12"/>
      <c r="CG119" s="7"/>
      <c r="CH119" s="7" t="s">
        <v>1621</v>
      </c>
      <c r="CI119" s="7" t="s">
        <v>1599</v>
      </c>
      <c r="CJ119" s="12"/>
      <c r="CK119" s="75"/>
      <c r="CL119" s="12"/>
      <c r="CM119" s="75"/>
      <c r="CN119" s="12" t="s">
        <v>460</v>
      </c>
      <c r="CO119" s="7" t="s">
        <v>1599</v>
      </c>
      <c r="CP119" s="75"/>
      <c r="CQ119" s="75"/>
      <c r="CR119" s="12" t="s">
        <v>460</v>
      </c>
      <c r="CS119" s="12" t="s">
        <v>1600</v>
      </c>
      <c r="CT119" s="7"/>
      <c r="CU119" s="7" t="s">
        <v>1600</v>
      </c>
      <c r="CV119" s="10" t="s">
        <v>1700</v>
      </c>
      <c r="CW119" s="10"/>
      <c r="CX119" s="10"/>
      <c r="CY119" s="10"/>
      <c r="CZ119" s="10" t="s">
        <v>1701</v>
      </c>
      <c r="DA119" s="10" t="s">
        <v>1702</v>
      </c>
      <c r="DB119" s="16"/>
      <c r="DC119" s="16"/>
      <c r="DD119" s="12"/>
      <c r="DE119" s="7"/>
      <c r="DF119" s="16"/>
      <c r="DG119" s="12"/>
      <c r="DH119" s="16"/>
      <c r="DI119" s="83"/>
      <c r="DJ119" s="83"/>
      <c r="DK119" s="7"/>
      <c r="DL119" s="12"/>
      <c r="DM119" s="12" t="s">
        <v>1703</v>
      </c>
      <c r="DN119" s="12"/>
      <c r="DO119" s="12" t="s">
        <v>1704</v>
      </c>
      <c r="DP119" s="7"/>
      <c r="DQ119" s="7" t="s">
        <v>1705</v>
      </c>
      <c r="DR119" s="7"/>
      <c r="DS119" s="7" t="s">
        <v>1706</v>
      </c>
      <c r="DT119" s="7" t="s">
        <v>1707</v>
      </c>
      <c r="DU119" s="26"/>
      <c r="DV119" s="26"/>
      <c r="DW119" s="26"/>
      <c r="DX119" s="26"/>
      <c r="DY119" s="74"/>
      <c r="DZ119" s="75"/>
      <c r="EA119" s="7" t="s">
        <v>1708</v>
      </c>
    </row>
    <row r="120" spans="1:131" x14ac:dyDescent="0.3">
      <c r="A120" s="9" t="s">
        <v>1709</v>
      </c>
      <c r="B120" s="7"/>
      <c r="C120" s="7">
        <v>30</v>
      </c>
      <c r="D120" s="7">
        <v>41</v>
      </c>
      <c r="E120" s="7">
        <v>21</v>
      </c>
      <c r="F120" s="7">
        <v>2</v>
      </c>
      <c r="G120" s="7">
        <v>17</v>
      </c>
      <c r="H120" s="12">
        <v>34</v>
      </c>
      <c r="I120" s="12">
        <v>30</v>
      </c>
      <c r="J120" s="7">
        <v>18</v>
      </c>
      <c r="K120" s="7"/>
      <c r="L120" s="12">
        <v>30</v>
      </c>
      <c r="M120" s="7"/>
      <c r="N120" s="7">
        <v>23</v>
      </c>
      <c r="O120" s="7"/>
      <c r="P120" s="7">
        <v>19</v>
      </c>
      <c r="Q120" s="7">
        <v>49</v>
      </c>
      <c r="R120" s="12">
        <v>25</v>
      </c>
      <c r="S120" s="75"/>
      <c r="T120" s="7">
        <v>12</v>
      </c>
      <c r="U120" s="7">
        <v>16</v>
      </c>
      <c r="V120" s="7">
        <v>60</v>
      </c>
      <c r="W120" s="12">
        <v>40</v>
      </c>
      <c r="X120" s="10">
        <v>16</v>
      </c>
      <c r="Y120" s="75"/>
      <c r="Z120" s="10">
        <v>17</v>
      </c>
      <c r="AA120" s="10">
        <v>28</v>
      </c>
      <c r="AB120" s="10">
        <v>7</v>
      </c>
      <c r="AC120" s="81">
        <v>19</v>
      </c>
      <c r="AD120" s="10">
        <v>19</v>
      </c>
      <c r="AE120" s="7"/>
      <c r="AF120" s="7">
        <v>22</v>
      </c>
      <c r="AG120" s="12">
        <v>18</v>
      </c>
      <c r="AH120" s="7">
        <v>29</v>
      </c>
      <c r="AI120" s="7"/>
      <c r="AJ120" s="7"/>
      <c r="AK120" s="7"/>
      <c r="AL120" s="7"/>
      <c r="AM120" s="7"/>
      <c r="AN120" s="7"/>
      <c r="AO120" s="7"/>
      <c r="AP120" s="7"/>
      <c r="AQ120" s="7"/>
      <c r="AR120" s="7"/>
      <c r="AS120" s="7" t="s">
        <v>1610</v>
      </c>
      <c r="AT120" s="7"/>
      <c r="AU120" s="7"/>
      <c r="AV120" s="12"/>
      <c r="AW120" s="12"/>
      <c r="AX120" s="75"/>
      <c r="AY120" s="91"/>
      <c r="AZ120" s="91"/>
      <c r="BA120" s="91"/>
      <c r="BB120" s="75"/>
      <c r="BC120" s="9"/>
      <c r="BD120" s="75"/>
      <c r="BE120" s="75"/>
      <c r="BF120" s="75"/>
      <c r="BG120" s="75"/>
      <c r="BH120" s="91"/>
      <c r="BI120" s="129"/>
      <c r="BJ120" s="75"/>
      <c r="BK120" s="75"/>
      <c r="BL120" s="75"/>
      <c r="BM120" s="91"/>
      <c r="BN120" s="75"/>
      <c r="BO120" s="91"/>
      <c r="BP120" s="7"/>
      <c r="BQ120" s="7" t="s">
        <v>1710</v>
      </c>
      <c r="BR120" s="7"/>
      <c r="BS120" s="7"/>
      <c r="BT120" s="7"/>
      <c r="BU120" s="7" t="s">
        <v>1711</v>
      </c>
      <c r="BV120" s="7"/>
      <c r="BW120" s="7" t="s">
        <v>1712</v>
      </c>
      <c r="BX120" s="12" t="s">
        <v>1713</v>
      </c>
      <c r="BY120" s="7" t="s">
        <v>1714</v>
      </c>
      <c r="BZ120" s="75"/>
      <c r="CA120" s="7"/>
      <c r="CB120" s="7" t="s">
        <v>1715</v>
      </c>
      <c r="CC120" s="12"/>
      <c r="CD120" s="75"/>
      <c r="CE120" s="133"/>
      <c r="CF120" s="12"/>
      <c r="CG120" s="7"/>
      <c r="CH120" s="7" t="s">
        <v>1716</v>
      </c>
      <c r="CI120" s="7" t="s">
        <v>1717</v>
      </c>
      <c r="CJ120" s="12"/>
      <c r="CK120" s="75"/>
      <c r="CL120" s="12"/>
      <c r="CM120" s="75"/>
      <c r="CN120" s="12"/>
      <c r="CO120" s="7" t="s">
        <v>1718</v>
      </c>
      <c r="CP120" s="75"/>
      <c r="CQ120" s="75"/>
      <c r="CR120" s="12"/>
      <c r="CS120" s="12" t="s">
        <v>1719</v>
      </c>
      <c r="CT120" s="7"/>
      <c r="CU120" s="7" t="s">
        <v>1720</v>
      </c>
      <c r="CV120" s="10">
        <v>23</v>
      </c>
      <c r="CW120" s="10"/>
      <c r="CX120" s="10"/>
      <c r="CY120" s="10"/>
      <c r="CZ120" s="10">
        <v>18</v>
      </c>
      <c r="DA120" s="10">
        <v>1</v>
      </c>
      <c r="DB120" s="16"/>
      <c r="DC120" s="16"/>
      <c r="DD120" s="12"/>
      <c r="DE120" s="7"/>
      <c r="DF120" s="16"/>
      <c r="DG120" s="12"/>
      <c r="DH120" s="16"/>
      <c r="DI120" s="83"/>
      <c r="DJ120" s="83"/>
      <c r="DK120" s="7"/>
      <c r="DL120" s="12"/>
      <c r="DM120" s="12">
        <v>6</v>
      </c>
      <c r="DN120" s="12"/>
      <c r="DO120" s="12">
        <v>32</v>
      </c>
      <c r="DP120" s="7"/>
      <c r="DQ120" s="7">
        <v>2</v>
      </c>
      <c r="DR120" s="7"/>
      <c r="DS120" s="7">
        <v>26</v>
      </c>
      <c r="DT120" s="7">
        <v>17</v>
      </c>
      <c r="DU120" s="26"/>
      <c r="DV120" s="26"/>
      <c r="DW120" s="26"/>
      <c r="DX120" s="26"/>
      <c r="DY120" s="74"/>
      <c r="DZ120" s="75"/>
      <c r="EA120" s="7">
        <v>81</v>
      </c>
    </row>
    <row r="121" spans="1:131" x14ac:dyDescent="0.3">
      <c r="A121" s="134" t="s">
        <v>1721</v>
      </c>
      <c r="B121" s="7"/>
      <c r="C121" s="7" t="s">
        <v>1597</v>
      </c>
      <c r="D121" s="7" t="s">
        <v>1597</v>
      </c>
      <c r="E121" s="7" t="s">
        <v>1599</v>
      </c>
      <c r="F121" s="7"/>
      <c r="G121" s="7" t="s">
        <v>1597</v>
      </c>
      <c r="H121" s="12"/>
      <c r="I121" s="12" t="s">
        <v>1599</v>
      </c>
      <c r="J121" s="7" t="s">
        <v>1597</v>
      </c>
      <c r="K121" s="7" t="s">
        <v>1598</v>
      </c>
      <c r="L121" s="12"/>
      <c r="M121" s="7"/>
      <c r="N121" s="7" t="s">
        <v>1597</v>
      </c>
      <c r="O121" s="7"/>
      <c r="P121" s="7" t="s">
        <v>1597</v>
      </c>
      <c r="Q121" s="7" t="s">
        <v>525</v>
      </c>
      <c r="R121" s="12" t="s">
        <v>1600</v>
      </c>
      <c r="S121" s="75"/>
      <c r="T121" s="7" t="s">
        <v>1597</v>
      </c>
      <c r="U121" s="7" t="s">
        <v>460</v>
      </c>
      <c r="V121" s="7" t="s">
        <v>1598</v>
      </c>
      <c r="W121" s="12" t="s">
        <v>1665</v>
      </c>
      <c r="X121" s="10" t="s">
        <v>1597</v>
      </c>
      <c r="Y121" s="75"/>
      <c r="Z121" s="10" t="s">
        <v>1597</v>
      </c>
      <c r="AA121" s="10" t="s">
        <v>1599</v>
      </c>
      <c r="AB121" s="10" t="s">
        <v>1599</v>
      </c>
      <c r="AC121" s="81" t="s">
        <v>1599</v>
      </c>
      <c r="AD121" s="10" t="s">
        <v>460</v>
      </c>
      <c r="AE121" s="7"/>
      <c r="AF121" s="7" t="s">
        <v>1597</v>
      </c>
      <c r="AG121" s="12" t="s">
        <v>460</v>
      </c>
      <c r="AH121" s="7"/>
      <c r="AI121" s="7" t="s">
        <v>1584</v>
      </c>
      <c r="AJ121" s="7"/>
      <c r="AK121" s="7" t="s">
        <v>1722</v>
      </c>
      <c r="AL121" s="7" t="s">
        <v>1723</v>
      </c>
      <c r="AM121" s="7" t="s">
        <v>1724</v>
      </c>
      <c r="AN121" s="7" t="s">
        <v>1725</v>
      </c>
      <c r="AO121" s="7" t="s">
        <v>1726</v>
      </c>
      <c r="AP121" s="7" t="s">
        <v>1727</v>
      </c>
      <c r="AQ121" s="7" t="s">
        <v>1584</v>
      </c>
      <c r="AR121" s="7"/>
      <c r="AS121" s="7" t="s">
        <v>1728</v>
      </c>
      <c r="AT121" s="7" t="s">
        <v>1729</v>
      </c>
      <c r="AU121" s="7" t="s">
        <v>1730</v>
      </c>
      <c r="AV121" s="12"/>
      <c r="AW121" s="12"/>
      <c r="AX121" s="7" t="s">
        <v>1731</v>
      </c>
      <c r="AY121" s="12" t="s">
        <v>1732</v>
      </c>
      <c r="AZ121" s="12" t="s">
        <v>1733</v>
      </c>
      <c r="BA121" s="91"/>
      <c r="BB121" s="7" t="s">
        <v>460</v>
      </c>
      <c r="BC121" s="9"/>
      <c r="BD121" s="75"/>
      <c r="BE121" s="75"/>
      <c r="BF121" s="7" t="s">
        <v>460</v>
      </c>
      <c r="BG121" s="75"/>
      <c r="BH121" s="12" t="s">
        <v>1734</v>
      </c>
      <c r="BI121" s="135" t="s">
        <v>1735</v>
      </c>
      <c r="BJ121" s="64" t="s">
        <v>1736</v>
      </c>
      <c r="BK121" s="7" t="s">
        <v>1737</v>
      </c>
      <c r="BL121" s="7" t="s">
        <v>1738</v>
      </c>
      <c r="BM121" s="12" t="s">
        <v>460</v>
      </c>
      <c r="BN121" s="75"/>
      <c r="BO121" s="12" t="s">
        <v>1739</v>
      </c>
      <c r="BP121" s="7"/>
      <c r="BQ121" s="7">
        <v>13</v>
      </c>
      <c r="BR121" s="7"/>
      <c r="BS121" s="7"/>
      <c r="BT121" s="7"/>
      <c r="BU121" s="7">
        <v>23</v>
      </c>
      <c r="BV121" s="7"/>
      <c r="BW121" s="7">
        <v>32</v>
      </c>
      <c r="BX121" s="12">
        <v>58</v>
      </c>
      <c r="BY121" s="7">
        <v>80</v>
      </c>
      <c r="BZ121" s="75"/>
      <c r="CA121" s="7"/>
      <c r="CB121" s="7">
        <v>23</v>
      </c>
      <c r="CC121" s="12"/>
      <c r="CD121" s="75"/>
      <c r="CE121" s="133"/>
      <c r="CF121" s="12"/>
      <c r="CG121" s="7"/>
      <c r="CH121" s="7">
        <v>21</v>
      </c>
      <c r="CI121" s="7">
        <v>2</v>
      </c>
      <c r="CJ121" s="12"/>
      <c r="CK121" s="75"/>
      <c r="CL121" s="12"/>
      <c r="CM121" s="75"/>
      <c r="CN121" s="12"/>
      <c r="CO121" s="7">
        <v>23</v>
      </c>
      <c r="CP121" s="75"/>
      <c r="CQ121" s="75"/>
      <c r="CR121" s="12"/>
      <c r="CS121" s="12">
        <v>2</v>
      </c>
      <c r="CT121" s="7"/>
      <c r="CU121" s="7">
        <v>10</v>
      </c>
      <c r="CV121" s="10"/>
      <c r="CW121" s="10" t="s">
        <v>460</v>
      </c>
      <c r="CX121" s="10" t="s">
        <v>460</v>
      </c>
      <c r="CY121" s="10"/>
      <c r="CZ121" s="10" t="s">
        <v>1667</v>
      </c>
      <c r="DA121" s="10" t="s">
        <v>460</v>
      </c>
      <c r="DB121" s="16"/>
      <c r="DC121" s="16"/>
      <c r="DD121" s="12"/>
      <c r="DE121" s="7"/>
      <c r="DF121" s="16"/>
      <c r="DG121" s="12"/>
      <c r="DH121" s="16"/>
      <c r="DI121" s="83"/>
      <c r="DJ121" s="83"/>
      <c r="DK121" s="7"/>
      <c r="DL121" s="12" t="s">
        <v>460</v>
      </c>
      <c r="DM121" s="12" t="s">
        <v>460</v>
      </c>
      <c r="DN121" s="12" t="s">
        <v>460</v>
      </c>
      <c r="DO121" s="12" t="s">
        <v>1667</v>
      </c>
      <c r="DP121" s="7"/>
      <c r="DQ121" s="7"/>
      <c r="DR121" s="7"/>
      <c r="DS121" s="7" t="s">
        <v>1597</v>
      </c>
      <c r="DT121" s="7" t="s">
        <v>460</v>
      </c>
      <c r="DU121" s="26" t="s">
        <v>460</v>
      </c>
      <c r="DV121" s="26"/>
      <c r="DW121" s="26"/>
      <c r="DX121" s="26"/>
      <c r="DY121" s="74" t="s">
        <v>460</v>
      </c>
      <c r="DZ121" s="75"/>
      <c r="EA121" s="7" t="s">
        <v>460</v>
      </c>
    </row>
    <row r="122" spans="1:131" ht="28.8" x14ac:dyDescent="0.3">
      <c r="A122" s="134" t="s">
        <v>1740</v>
      </c>
      <c r="B122" s="7"/>
      <c r="C122" s="7" t="s">
        <v>1741</v>
      </c>
      <c r="D122" s="7" t="s">
        <v>1742</v>
      </c>
      <c r="E122" s="7" t="s">
        <v>1743</v>
      </c>
      <c r="F122" s="7"/>
      <c r="G122" s="7" t="s">
        <v>1744</v>
      </c>
      <c r="H122" s="12"/>
      <c r="I122" s="12" t="s">
        <v>1745</v>
      </c>
      <c r="J122" s="7" t="s">
        <v>1746</v>
      </c>
      <c r="K122" s="7" t="s">
        <v>1608</v>
      </c>
      <c r="L122" s="12"/>
      <c r="M122" s="7"/>
      <c r="N122" s="7" t="s">
        <v>1747</v>
      </c>
      <c r="O122" s="7"/>
      <c r="P122" s="7" t="s">
        <v>1748</v>
      </c>
      <c r="Q122" s="7" t="s">
        <v>1749</v>
      </c>
      <c r="R122" s="12" t="s">
        <v>1750</v>
      </c>
      <c r="S122" s="75"/>
      <c r="T122" s="41" t="s">
        <v>1751</v>
      </c>
      <c r="U122" s="7"/>
      <c r="V122" s="7" t="s">
        <v>1752</v>
      </c>
      <c r="W122" s="12" t="s">
        <v>1753</v>
      </c>
      <c r="X122" s="10" t="s">
        <v>1754</v>
      </c>
      <c r="Y122" s="75"/>
      <c r="Z122" s="10" t="s">
        <v>1755</v>
      </c>
      <c r="AA122" s="10" t="s">
        <v>1756</v>
      </c>
      <c r="AB122" s="10" t="s">
        <v>1757</v>
      </c>
      <c r="AC122" s="81" t="s">
        <v>1758</v>
      </c>
      <c r="AD122" s="10"/>
      <c r="AE122" s="7"/>
      <c r="AF122" s="7" t="s">
        <v>1759</v>
      </c>
      <c r="AG122" s="12"/>
      <c r="AH122" s="75"/>
      <c r="AI122" s="7"/>
      <c r="AJ122" s="7"/>
      <c r="AK122" s="7">
        <v>80</v>
      </c>
      <c r="AL122" s="7">
        <v>50</v>
      </c>
      <c r="AM122" s="7">
        <v>51</v>
      </c>
      <c r="AN122" s="7">
        <v>52</v>
      </c>
      <c r="AO122" s="7">
        <v>51</v>
      </c>
      <c r="AP122" s="7">
        <v>43</v>
      </c>
      <c r="AQ122" s="7"/>
      <c r="AR122" s="7"/>
      <c r="AS122" s="7">
        <v>49</v>
      </c>
      <c r="AT122" s="7">
        <v>44</v>
      </c>
      <c r="AU122" s="7"/>
      <c r="AV122" s="12"/>
      <c r="AW122" s="12"/>
      <c r="AX122" s="7">
        <v>59</v>
      </c>
      <c r="AY122" s="12">
        <v>24</v>
      </c>
      <c r="AZ122" s="12">
        <v>39</v>
      </c>
      <c r="BA122" s="91"/>
      <c r="BB122" s="7"/>
      <c r="BC122" s="9"/>
      <c r="BD122" s="75"/>
      <c r="BE122" s="75"/>
      <c r="BF122" s="7"/>
      <c r="BG122" s="75"/>
      <c r="BH122" s="12">
        <v>35</v>
      </c>
      <c r="BI122" s="130">
        <v>40</v>
      </c>
      <c r="BJ122" s="64">
        <v>69</v>
      </c>
      <c r="BK122" s="7">
        <v>45</v>
      </c>
      <c r="BL122" s="7">
        <v>51</v>
      </c>
      <c r="BM122" s="12"/>
      <c r="BN122" s="75"/>
      <c r="BO122" s="12">
        <v>47</v>
      </c>
      <c r="BP122" s="7"/>
      <c r="BQ122" s="7" t="s">
        <v>460</v>
      </c>
      <c r="BR122" s="7"/>
      <c r="BS122" s="7"/>
      <c r="BT122" s="7"/>
      <c r="BU122" s="7"/>
      <c r="BV122" s="7" t="s">
        <v>460</v>
      </c>
      <c r="BW122" s="7" t="s">
        <v>1760</v>
      </c>
      <c r="BX122" s="12"/>
      <c r="BY122" s="7"/>
      <c r="BZ122" s="75"/>
      <c r="CA122" s="7"/>
      <c r="CB122" s="7" t="s">
        <v>460</v>
      </c>
      <c r="CC122" s="12"/>
      <c r="CD122" s="75"/>
      <c r="CE122" s="133"/>
      <c r="CF122" s="12"/>
      <c r="CG122" s="7" t="s">
        <v>1666</v>
      </c>
      <c r="CH122" s="7" t="s">
        <v>1600</v>
      </c>
      <c r="CI122" s="7"/>
      <c r="CJ122" s="12"/>
      <c r="CK122" s="75"/>
      <c r="CL122" s="12">
        <v>0</v>
      </c>
      <c r="CM122" s="75"/>
      <c r="CN122" s="12"/>
      <c r="CO122" s="7" t="s">
        <v>460</v>
      </c>
      <c r="CP122" s="75"/>
      <c r="CQ122" s="75"/>
      <c r="CR122" s="12"/>
      <c r="CS122" s="12"/>
      <c r="CT122" s="7"/>
      <c r="CU122" s="7" t="s">
        <v>460</v>
      </c>
      <c r="CV122" s="10"/>
      <c r="CW122" s="10"/>
      <c r="CX122" s="10"/>
      <c r="CY122" s="10"/>
      <c r="CZ122" s="10" t="s">
        <v>1761</v>
      </c>
      <c r="DA122" s="10"/>
      <c r="DB122" s="16"/>
      <c r="DC122" s="16"/>
      <c r="DD122" s="12"/>
      <c r="DE122" s="7"/>
      <c r="DF122" s="16"/>
      <c r="DG122" s="12"/>
      <c r="DH122" s="16"/>
      <c r="DI122" s="83"/>
      <c r="DJ122" s="83"/>
      <c r="DK122" s="7"/>
      <c r="DL122" s="12"/>
      <c r="DM122" s="12"/>
      <c r="DN122" s="12"/>
      <c r="DO122" s="12" t="s">
        <v>1762</v>
      </c>
      <c r="DP122" s="7"/>
      <c r="DQ122" s="7"/>
      <c r="DR122" s="7"/>
      <c r="DS122" s="7" t="s">
        <v>1763</v>
      </c>
      <c r="DT122" s="7"/>
      <c r="DU122" s="26"/>
      <c r="DV122" s="26"/>
      <c r="DW122" s="26"/>
      <c r="DX122" s="26"/>
      <c r="DY122" s="74"/>
      <c r="DZ122" s="75"/>
      <c r="EA122" s="7"/>
    </row>
    <row r="123" spans="1:131" x14ac:dyDescent="0.3">
      <c r="A123" s="134" t="s">
        <v>1764</v>
      </c>
      <c r="B123" s="7"/>
      <c r="C123" s="7">
        <v>23</v>
      </c>
      <c r="D123" s="7">
        <v>38</v>
      </c>
      <c r="E123" s="7">
        <v>18</v>
      </c>
      <c r="F123" s="7"/>
      <c r="G123" s="7">
        <v>6</v>
      </c>
      <c r="H123" s="12"/>
      <c r="I123" s="12">
        <v>28</v>
      </c>
      <c r="J123" s="7">
        <v>8</v>
      </c>
      <c r="K123" s="7">
        <v>53</v>
      </c>
      <c r="L123" s="12"/>
      <c r="M123" s="7"/>
      <c r="N123" s="7">
        <v>16</v>
      </c>
      <c r="O123" s="41"/>
      <c r="P123" s="7">
        <v>17</v>
      </c>
      <c r="Q123" s="7">
        <v>53</v>
      </c>
      <c r="R123" s="12">
        <v>23</v>
      </c>
      <c r="S123" s="75"/>
      <c r="T123" s="46"/>
      <c r="U123" s="7"/>
      <c r="V123" s="7">
        <v>59</v>
      </c>
      <c r="W123" s="12">
        <v>38</v>
      </c>
      <c r="X123" s="10">
        <v>25</v>
      </c>
      <c r="Y123" s="75"/>
      <c r="Z123" s="10">
        <v>15</v>
      </c>
      <c r="AA123" s="10">
        <v>25</v>
      </c>
      <c r="AB123" s="10">
        <v>26</v>
      </c>
      <c r="AC123" s="81">
        <v>17</v>
      </c>
      <c r="AD123" s="10"/>
      <c r="AE123" s="7"/>
      <c r="AF123" s="7">
        <v>21</v>
      </c>
      <c r="AG123" s="12"/>
      <c r="AH123" s="75"/>
      <c r="AI123" s="7"/>
      <c r="AJ123" s="7" t="s">
        <v>1597</v>
      </c>
      <c r="AK123" s="7" t="s">
        <v>1667</v>
      </c>
      <c r="AL123" s="7" t="s">
        <v>1599</v>
      </c>
      <c r="AM123" s="7" t="s">
        <v>1599</v>
      </c>
      <c r="AN123" s="7" t="s">
        <v>460</v>
      </c>
      <c r="AO123" s="7" t="s">
        <v>1765</v>
      </c>
      <c r="AP123" s="7" t="s">
        <v>1597</v>
      </c>
      <c r="AQ123" s="7"/>
      <c r="AR123" s="7" t="s">
        <v>1599</v>
      </c>
      <c r="AS123" s="7" t="s">
        <v>1597</v>
      </c>
      <c r="AT123" s="7" t="s">
        <v>1597</v>
      </c>
      <c r="AU123" s="7" t="s">
        <v>1599</v>
      </c>
      <c r="AV123" s="12"/>
      <c r="AW123" s="12" t="s">
        <v>1597</v>
      </c>
      <c r="AX123" s="7" t="s">
        <v>1597</v>
      </c>
      <c r="AY123" s="12" t="s">
        <v>1599</v>
      </c>
      <c r="AZ123" s="12" t="s">
        <v>1599</v>
      </c>
      <c r="BA123" s="91"/>
      <c r="BB123" s="7" t="s">
        <v>1597</v>
      </c>
      <c r="BC123" s="9"/>
      <c r="BD123" s="75"/>
      <c r="BE123" s="75"/>
      <c r="BF123" s="7" t="s">
        <v>460</v>
      </c>
      <c r="BG123" s="75"/>
      <c r="BH123" s="12" t="s">
        <v>1600</v>
      </c>
      <c r="BI123" s="135" t="s">
        <v>1600</v>
      </c>
      <c r="BJ123" s="64" t="s">
        <v>1600</v>
      </c>
      <c r="BK123" s="7" t="s">
        <v>1621</v>
      </c>
      <c r="BL123" s="7" t="s">
        <v>1621</v>
      </c>
      <c r="BM123" s="12" t="s">
        <v>460</v>
      </c>
      <c r="BN123" s="75"/>
      <c r="BO123" s="70" t="s">
        <v>1621</v>
      </c>
      <c r="BP123" s="7"/>
      <c r="BQ123" s="7"/>
      <c r="BR123" s="7"/>
      <c r="BS123" s="7"/>
      <c r="BT123" s="7"/>
      <c r="BU123" s="7"/>
      <c r="BV123" s="7"/>
      <c r="BW123" s="7" t="s">
        <v>1766</v>
      </c>
      <c r="BX123" s="12"/>
      <c r="BY123" s="7"/>
      <c r="BZ123" s="75"/>
      <c r="CA123" s="7"/>
      <c r="CB123" s="7"/>
      <c r="CC123" s="12"/>
      <c r="CD123" s="75"/>
      <c r="CE123" s="133"/>
      <c r="CF123" s="12"/>
      <c r="CG123" s="7" t="s">
        <v>1767</v>
      </c>
      <c r="CH123" s="7" t="s">
        <v>1768</v>
      </c>
      <c r="CI123" s="7"/>
      <c r="CJ123" s="12"/>
      <c r="CK123" s="75"/>
      <c r="CL123" s="12"/>
      <c r="CM123" s="75"/>
      <c r="CN123" s="12"/>
      <c r="CO123" s="75"/>
      <c r="CP123" s="75"/>
      <c r="CQ123" s="75"/>
      <c r="CR123" s="12"/>
      <c r="CS123" s="12"/>
      <c r="CT123" s="7"/>
      <c r="CU123" s="7"/>
      <c r="CV123" s="10"/>
      <c r="CW123" s="10"/>
      <c r="CX123" s="10"/>
      <c r="CY123" s="10"/>
      <c r="CZ123" s="10">
        <v>5</v>
      </c>
      <c r="DA123" s="10"/>
      <c r="DB123" s="16"/>
      <c r="DC123" s="16"/>
      <c r="DD123" s="12"/>
      <c r="DE123" s="7"/>
      <c r="DF123" s="16"/>
      <c r="DG123" s="12"/>
      <c r="DH123" s="16"/>
      <c r="DI123" s="83"/>
      <c r="DJ123" s="83"/>
      <c r="DK123" s="7"/>
      <c r="DL123" s="12"/>
      <c r="DM123" s="12"/>
      <c r="DN123" s="12"/>
      <c r="DO123" s="12">
        <v>10</v>
      </c>
      <c r="DP123" s="7"/>
      <c r="DQ123" s="7"/>
      <c r="DR123" s="7"/>
      <c r="DS123" s="7">
        <v>24</v>
      </c>
      <c r="DT123" s="7"/>
      <c r="DU123" s="26"/>
      <c r="DV123" s="26"/>
      <c r="DW123" s="26"/>
      <c r="DX123" s="26"/>
      <c r="DY123" s="74"/>
      <c r="DZ123" s="75"/>
      <c r="EA123" s="7"/>
    </row>
    <row r="124" spans="1:131" x14ac:dyDescent="0.3">
      <c r="A124" s="9" t="s">
        <v>1769</v>
      </c>
      <c r="B124" s="7"/>
      <c r="C124" s="7"/>
      <c r="D124" s="7" t="s">
        <v>1599</v>
      </c>
      <c r="E124" s="7"/>
      <c r="F124" s="7"/>
      <c r="G124" s="7"/>
      <c r="H124" s="12"/>
      <c r="I124" s="12" t="s">
        <v>1625</v>
      </c>
      <c r="J124" s="7" t="s">
        <v>460</v>
      </c>
      <c r="K124" s="7"/>
      <c r="L124" s="12"/>
      <c r="M124" s="7"/>
      <c r="N124" s="12" t="s">
        <v>1597</v>
      </c>
      <c r="O124" s="75"/>
      <c r="P124" s="7" t="s">
        <v>460</v>
      </c>
      <c r="Q124" s="7" t="s">
        <v>1624</v>
      </c>
      <c r="R124" s="12" t="s">
        <v>460</v>
      </c>
      <c r="S124" s="75"/>
      <c r="T124" s="75"/>
      <c r="U124" s="7" t="s">
        <v>460</v>
      </c>
      <c r="V124" s="7" t="s">
        <v>1770</v>
      </c>
      <c r="W124" s="12" t="s">
        <v>1771</v>
      </c>
      <c r="X124" s="10" t="s">
        <v>1597</v>
      </c>
      <c r="Y124" s="75"/>
      <c r="Z124" s="10" t="s">
        <v>460</v>
      </c>
      <c r="AA124" s="10" t="s">
        <v>1599</v>
      </c>
      <c r="AB124" s="10"/>
      <c r="AC124" s="75"/>
      <c r="AD124" s="10" t="s">
        <v>460</v>
      </c>
      <c r="AE124" s="7"/>
      <c r="AF124" s="7" t="s">
        <v>1599</v>
      </c>
      <c r="AG124" s="12" t="s">
        <v>460</v>
      </c>
      <c r="AH124" s="75"/>
      <c r="AI124" s="7"/>
      <c r="AJ124" s="7" t="s">
        <v>1772</v>
      </c>
      <c r="AK124" s="7" t="s">
        <v>1773</v>
      </c>
      <c r="AL124" s="7" t="s">
        <v>1774</v>
      </c>
      <c r="AM124" s="7" t="s">
        <v>1775</v>
      </c>
      <c r="AN124" s="7"/>
      <c r="AO124" s="7" t="s">
        <v>1776</v>
      </c>
      <c r="AP124" s="7" t="s">
        <v>1777</v>
      </c>
      <c r="AQ124" s="7"/>
      <c r="AR124" s="7" t="s">
        <v>1778</v>
      </c>
      <c r="AS124" s="7" t="s">
        <v>1779</v>
      </c>
      <c r="AT124" s="7" t="s">
        <v>1780</v>
      </c>
      <c r="AU124" s="7" t="s">
        <v>1781</v>
      </c>
      <c r="AV124" s="12"/>
      <c r="AW124" s="12" t="s">
        <v>1782</v>
      </c>
      <c r="AX124" s="7" t="s">
        <v>1783</v>
      </c>
      <c r="AY124" s="12" t="s">
        <v>1784</v>
      </c>
      <c r="AZ124" s="12" t="s">
        <v>1785</v>
      </c>
      <c r="BA124" s="91"/>
      <c r="BB124" s="7" t="s">
        <v>1786</v>
      </c>
      <c r="BC124" s="9"/>
      <c r="BD124" s="75"/>
      <c r="BE124" s="75"/>
      <c r="BF124" s="7"/>
      <c r="BG124" s="75"/>
      <c r="BH124" s="12" t="s">
        <v>1787</v>
      </c>
      <c r="BI124" s="135" t="s">
        <v>1788</v>
      </c>
      <c r="BJ124" s="64" t="s">
        <v>1789</v>
      </c>
      <c r="BK124" s="7" t="s">
        <v>1790</v>
      </c>
      <c r="BL124" s="7" t="s">
        <v>1791</v>
      </c>
      <c r="BM124" s="91"/>
      <c r="BN124" s="75"/>
      <c r="BO124" s="12" t="s">
        <v>1792</v>
      </c>
      <c r="BP124" s="7"/>
      <c r="BQ124" s="7"/>
      <c r="BR124" s="7"/>
      <c r="BS124" s="7"/>
      <c r="BT124" s="7"/>
      <c r="BU124" s="7"/>
      <c r="BV124" s="7"/>
      <c r="BW124" s="7">
        <v>20</v>
      </c>
      <c r="BX124" s="12"/>
      <c r="BY124" s="7"/>
      <c r="BZ124" s="75"/>
      <c r="CA124" s="7"/>
      <c r="CB124" s="7"/>
      <c r="CC124" s="12"/>
      <c r="CD124" s="75"/>
      <c r="CE124" s="133"/>
      <c r="CF124" s="12"/>
      <c r="CG124" s="7">
        <v>34</v>
      </c>
      <c r="CH124" s="7">
        <v>31</v>
      </c>
      <c r="CI124" s="7"/>
      <c r="CJ124" s="12"/>
      <c r="CK124" s="75"/>
      <c r="CL124" s="12"/>
      <c r="CM124" s="75"/>
      <c r="CN124" s="12"/>
      <c r="CO124" s="75"/>
      <c r="CP124" s="75"/>
      <c r="CQ124" s="75"/>
      <c r="CR124" s="12"/>
      <c r="CS124" s="12"/>
      <c r="CT124" s="7"/>
      <c r="CU124" s="7"/>
      <c r="CV124" s="10"/>
      <c r="CW124" s="10" t="s">
        <v>460</v>
      </c>
      <c r="CX124" s="10" t="s">
        <v>460</v>
      </c>
      <c r="CY124" s="10"/>
      <c r="CZ124" s="10"/>
      <c r="DA124" s="10" t="s">
        <v>460</v>
      </c>
      <c r="DB124" s="16"/>
      <c r="DC124" s="16"/>
      <c r="DD124" s="12"/>
      <c r="DE124" s="7"/>
      <c r="DF124" s="16"/>
      <c r="DG124" s="12"/>
      <c r="DH124" s="16"/>
      <c r="DI124" s="83"/>
      <c r="DJ124" s="83"/>
      <c r="DK124" s="7"/>
      <c r="DL124" s="12" t="s">
        <v>460</v>
      </c>
      <c r="DM124" s="12" t="s">
        <v>460</v>
      </c>
      <c r="DN124" s="12" t="s">
        <v>460</v>
      </c>
      <c r="DO124" s="12" t="s">
        <v>1793</v>
      </c>
      <c r="DP124" s="7"/>
      <c r="DQ124" s="7"/>
      <c r="DR124" s="7"/>
      <c r="DS124" s="7" t="s">
        <v>1600</v>
      </c>
      <c r="DT124" s="7"/>
      <c r="DU124" s="26" t="s">
        <v>460</v>
      </c>
      <c r="DV124" s="26"/>
      <c r="DW124" s="26"/>
      <c r="DX124" s="26"/>
      <c r="DY124" s="136" t="s">
        <v>460</v>
      </c>
      <c r="DZ124" s="75"/>
      <c r="EA124" s="7" t="s">
        <v>460</v>
      </c>
    </row>
    <row r="125" spans="1:131" x14ac:dyDescent="0.3">
      <c r="A125" s="9" t="s">
        <v>1794</v>
      </c>
      <c r="B125" s="7"/>
      <c r="C125" s="7"/>
      <c r="D125" s="7" t="s">
        <v>1795</v>
      </c>
      <c r="E125" s="7"/>
      <c r="F125" s="7"/>
      <c r="G125" s="7"/>
      <c r="H125" s="12"/>
      <c r="I125" s="12" t="s">
        <v>1796</v>
      </c>
      <c r="J125" s="7"/>
      <c r="K125" s="7"/>
      <c r="L125" s="12"/>
      <c r="M125" s="7"/>
      <c r="N125" s="12" t="s">
        <v>1797</v>
      </c>
      <c r="O125" s="75"/>
      <c r="P125" s="7"/>
      <c r="Q125" s="7" t="s">
        <v>1798</v>
      </c>
      <c r="R125" s="12"/>
      <c r="S125" s="75"/>
      <c r="T125" s="75"/>
      <c r="U125" s="7"/>
      <c r="V125" s="7" t="s">
        <v>1799</v>
      </c>
      <c r="W125" s="12" t="s">
        <v>1800</v>
      </c>
      <c r="X125" s="10" t="s">
        <v>1801</v>
      </c>
      <c r="Y125" s="75"/>
      <c r="Z125" s="10"/>
      <c r="AA125" s="10" t="s">
        <v>1802</v>
      </c>
      <c r="AB125" s="10"/>
      <c r="AC125" s="75"/>
      <c r="AD125" s="10"/>
      <c r="AE125" s="7"/>
      <c r="AF125" s="7" t="s">
        <v>1803</v>
      </c>
      <c r="AG125" s="12"/>
      <c r="AH125" s="75"/>
      <c r="AI125" s="7"/>
      <c r="AJ125" s="7">
        <v>23</v>
      </c>
      <c r="AK125" s="7">
        <v>15</v>
      </c>
      <c r="AL125" s="7">
        <v>16</v>
      </c>
      <c r="AM125" s="7">
        <v>33</v>
      </c>
      <c r="AN125" s="7"/>
      <c r="AO125" s="7">
        <v>28</v>
      </c>
      <c r="AP125" s="7">
        <v>19</v>
      </c>
      <c r="AQ125" s="7"/>
      <c r="AR125" s="7">
        <v>42</v>
      </c>
      <c r="AS125" s="7">
        <v>26</v>
      </c>
      <c r="AT125" s="7">
        <v>15</v>
      </c>
      <c r="AU125" s="7"/>
      <c r="AV125" s="12"/>
      <c r="AW125" s="12">
        <v>20</v>
      </c>
      <c r="AX125" s="7">
        <v>22</v>
      </c>
      <c r="AY125" s="12">
        <v>13</v>
      </c>
      <c r="AZ125" s="12">
        <v>18</v>
      </c>
      <c r="BA125" s="91"/>
      <c r="BB125" s="7">
        <v>25</v>
      </c>
      <c r="BC125" s="9"/>
      <c r="BD125" s="75"/>
      <c r="BE125" s="75"/>
      <c r="BF125" s="7"/>
      <c r="BG125" s="75"/>
      <c r="BH125" s="12">
        <v>14</v>
      </c>
      <c r="BI125" s="130">
        <v>23</v>
      </c>
      <c r="BJ125" s="64">
        <v>38</v>
      </c>
      <c r="BK125" s="7">
        <v>27</v>
      </c>
      <c r="BL125" s="7">
        <v>30</v>
      </c>
      <c r="BM125" s="91"/>
      <c r="BN125" s="75"/>
      <c r="BO125" s="12">
        <v>16</v>
      </c>
      <c r="BP125" s="7"/>
      <c r="BQ125" s="7" t="s">
        <v>460</v>
      </c>
      <c r="BR125" s="7"/>
      <c r="BS125" s="7"/>
      <c r="BT125" s="7"/>
      <c r="BU125" s="7"/>
      <c r="BV125" s="7" t="s">
        <v>460</v>
      </c>
      <c r="BW125" s="7" t="s">
        <v>1760</v>
      </c>
      <c r="BX125" s="12"/>
      <c r="BY125" s="7"/>
      <c r="BZ125" s="75"/>
      <c r="CA125" s="7"/>
      <c r="CB125" s="7"/>
      <c r="CC125" s="12"/>
      <c r="CD125" s="75"/>
      <c r="CE125" s="133"/>
      <c r="CF125" s="12"/>
      <c r="CG125" s="7"/>
      <c r="CH125" s="7"/>
      <c r="CI125" s="7"/>
      <c r="CJ125" s="12"/>
      <c r="CK125" s="75"/>
      <c r="CL125" s="12"/>
      <c r="CM125" s="75"/>
      <c r="CN125" s="12"/>
      <c r="CO125" s="75"/>
      <c r="CP125" s="75"/>
      <c r="CQ125" s="75"/>
      <c r="CR125" s="12"/>
      <c r="CS125" s="12"/>
      <c r="CT125" s="7"/>
      <c r="CU125" s="7" t="s">
        <v>460</v>
      </c>
      <c r="CV125" s="10"/>
      <c r="CW125" s="10"/>
      <c r="CX125" s="10"/>
      <c r="CY125" s="10"/>
      <c r="CZ125" s="10"/>
      <c r="DA125" s="10"/>
      <c r="DB125" s="16"/>
      <c r="DC125" s="16"/>
      <c r="DD125" s="12"/>
      <c r="DE125" s="7"/>
      <c r="DF125" s="16"/>
      <c r="DG125" s="12"/>
      <c r="DH125" s="16"/>
      <c r="DI125" s="83"/>
      <c r="DJ125" s="83"/>
      <c r="DK125" s="7"/>
      <c r="DL125" s="12"/>
      <c r="DM125" s="12"/>
      <c r="DN125" s="12"/>
      <c r="DO125" s="12" t="s">
        <v>1804</v>
      </c>
      <c r="DP125" s="7"/>
      <c r="DQ125" s="7"/>
      <c r="DR125" s="7"/>
      <c r="DS125" s="7" t="s">
        <v>1805</v>
      </c>
      <c r="DT125" s="7"/>
      <c r="DU125" s="26"/>
      <c r="DV125" s="26"/>
      <c r="DW125" s="26"/>
      <c r="DX125" s="26"/>
      <c r="DY125" s="74"/>
      <c r="DZ125" s="75"/>
      <c r="EA125" s="7"/>
    </row>
    <row r="126" spans="1:131" x14ac:dyDescent="0.3">
      <c r="A126" s="9" t="s">
        <v>1806</v>
      </c>
      <c r="B126" s="7"/>
      <c r="C126" s="7"/>
      <c r="D126" s="7">
        <v>33</v>
      </c>
      <c r="E126" s="7"/>
      <c r="F126" s="7"/>
      <c r="G126" s="7"/>
      <c r="H126" s="12"/>
      <c r="I126" s="12">
        <v>8</v>
      </c>
      <c r="J126" s="7"/>
      <c r="K126" s="7"/>
      <c r="L126" s="12"/>
      <c r="M126" s="7"/>
      <c r="N126" s="12">
        <v>2</v>
      </c>
      <c r="O126" s="75"/>
      <c r="P126" s="7"/>
      <c r="Q126" s="7">
        <v>36</v>
      </c>
      <c r="R126" s="12"/>
      <c r="S126" s="75"/>
      <c r="T126" s="75"/>
      <c r="U126" s="7"/>
      <c r="V126" s="7">
        <v>9</v>
      </c>
      <c r="W126" s="12">
        <v>35</v>
      </c>
      <c r="X126" s="10">
        <v>22</v>
      </c>
      <c r="Y126" s="75"/>
      <c r="Z126" s="10"/>
      <c r="AA126" s="10">
        <v>14</v>
      </c>
      <c r="AB126" s="16"/>
      <c r="AC126" s="75"/>
      <c r="AD126" s="10"/>
      <c r="AE126" s="7"/>
      <c r="AF126" s="7">
        <v>5</v>
      </c>
      <c r="AG126" s="12"/>
      <c r="AH126" s="75"/>
      <c r="AI126" s="7"/>
      <c r="AJ126" s="7" t="s">
        <v>1597</v>
      </c>
      <c r="AK126" s="7" t="s">
        <v>1625</v>
      </c>
      <c r="AL126" s="7" t="s">
        <v>1597</v>
      </c>
      <c r="AM126" s="7" t="s">
        <v>1599</v>
      </c>
      <c r="AN126" s="7"/>
      <c r="AO126" s="7" t="s">
        <v>1599</v>
      </c>
      <c r="AP126" s="7" t="s">
        <v>1597</v>
      </c>
      <c r="AQ126" s="7"/>
      <c r="AR126" s="7" t="s">
        <v>1770</v>
      </c>
      <c r="AS126" s="7" t="s">
        <v>1599</v>
      </c>
      <c r="AT126" s="7" t="s">
        <v>1597</v>
      </c>
      <c r="AU126" s="7" t="s">
        <v>1663</v>
      </c>
      <c r="AV126" s="12"/>
      <c r="AW126" s="12"/>
      <c r="AX126" s="7"/>
      <c r="AY126" s="12" t="s">
        <v>460</v>
      </c>
      <c r="AZ126" s="12" t="s">
        <v>1599</v>
      </c>
      <c r="BA126" s="91"/>
      <c r="BB126" s="7" t="s">
        <v>1599</v>
      </c>
      <c r="BC126" s="9"/>
      <c r="BD126" s="75"/>
      <c r="BE126" s="75"/>
      <c r="BF126" s="7" t="s">
        <v>460</v>
      </c>
      <c r="BG126" s="75"/>
      <c r="BH126" s="12" t="s">
        <v>1621</v>
      </c>
      <c r="BI126" s="135" t="s">
        <v>460</v>
      </c>
      <c r="BJ126" s="64" t="s">
        <v>1621</v>
      </c>
      <c r="BK126" s="7" t="s">
        <v>1621</v>
      </c>
      <c r="BL126" s="7" t="s">
        <v>1621</v>
      </c>
      <c r="BM126" s="91"/>
      <c r="BN126" s="75"/>
      <c r="BO126" s="12"/>
      <c r="BP126" s="7"/>
      <c r="BQ126" s="7"/>
      <c r="BR126" s="7"/>
      <c r="BS126" s="7"/>
      <c r="BT126" s="7"/>
      <c r="BU126" s="7"/>
      <c r="BV126" s="7"/>
      <c r="BW126" s="7" t="s">
        <v>1807</v>
      </c>
      <c r="BX126" s="12"/>
      <c r="BY126" s="7"/>
      <c r="BZ126" s="75"/>
      <c r="CA126" s="41"/>
      <c r="CB126" s="7"/>
      <c r="CC126" s="12"/>
      <c r="CD126" s="75"/>
      <c r="CE126" s="133"/>
      <c r="CF126" s="12"/>
      <c r="CG126" s="7"/>
      <c r="CH126" s="7"/>
      <c r="CI126" s="7"/>
      <c r="CJ126" s="12"/>
      <c r="CK126" s="75"/>
      <c r="CL126" s="12"/>
      <c r="CM126" s="75"/>
      <c r="CN126" s="12"/>
      <c r="CO126" s="75"/>
      <c r="CP126" s="75"/>
      <c r="CQ126" s="75"/>
      <c r="CR126" s="12"/>
      <c r="CS126" s="12"/>
      <c r="CT126" s="7"/>
      <c r="CU126" s="7"/>
      <c r="CV126" s="10"/>
      <c r="CW126" s="10"/>
      <c r="CX126" s="10"/>
      <c r="CY126" s="10"/>
      <c r="CZ126" s="10"/>
      <c r="DA126" s="10"/>
      <c r="DB126" s="16"/>
      <c r="DC126" s="16"/>
      <c r="DD126" s="12"/>
      <c r="DE126" s="7"/>
      <c r="DF126" s="16"/>
      <c r="DG126" s="12"/>
      <c r="DH126" s="16"/>
      <c r="DI126" s="83"/>
      <c r="DJ126" s="83"/>
      <c r="DK126" s="7"/>
      <c r="DL126" s="12"/>
      <c r="DM126" s="12"/>
      <c r="DN126" s="12"/>
      <c r="DO126" s="12">
        <v>8</v>
      </c>
      <c r="DP126" s="7"/>
      <c r="DQ126" s="7"/>
      <c r="DR126" s="7"/>
      <c r="DS126" s="7">
        <v>22</v>
      </c>
      <c r="DT126" s="7"/>
      <c r="DU126" s="26"/>
      <c r="DV126" s="26"/>
      <c r="DW126" s="26"/>
      <c r="DX126" s="26"/>
      <c r="DY126" s="74"/>
      <c r="DZ126" s="75"/>
      <c r="EA126" s="7"/>
    </row>
    <row r="127" spans="1:131" x14ac:dyDescent="0.3">
      <c r="A127" s="134" t="s">
        <v>1808</v>
      </c>
      <c r="B127" s="7"/>
      <c r="C127" s="7"/>
      <c r="D127" s="7" t="s">
        <v>1599</v>
      </c>
      <c r="E127" s="7"/>
      <c r="F127" s="7"/>
      <c r="G127" s="7"/>
      <c r="H127" s="12"/>
      <c r="I127" s="12" t="s">
        <v>1625</v>
      </c>
      <c r="J127" s="7"/>
      <c r="K127" s="7"/>
      <c r="L127" s="12"/>
      <c r="M127" s="7"/>
      <c r="N127" s="12"/>
      <c r="O127" s="75"/>
      <c r="P127" s="7"/>
      <c r="Q127" s="7" t="s">
        <v>1809</v>
      </c>
      <c r="R127" s="70" t="s">
        <v>460</v>
      </c>
      <c r="S127" s="75"/>
      <c r="T127" s="75"/>
      <c r="U127" s="41" t="s">
        <v>460</v>
      </c>
      <c r="V127" s="7"/>
      <c r="W127" s="12" t="s">
        <v>1665</v>
      </c>
      <c r="X127" s="10" t="s">
        <v>1599</v>
      </c>
      <c r="Y127" s="75"/>
      <c r="Z127" s="10" t="s">
        <v>460</v>
      </c>
      <c r="AA127" s="16"/>
      <c r="AB127" s="16"/>
      <c r="AC127" s="75"/>
      <c r="AD127" s="10" t="s">
        <v>460</v>
      </c>
      <c r="AE127" s="7" t="s">
        <v>460</v>
      </c>
      <c r="AF127" s="7" t="s">
        <v>460</v>
      </c>
      <c r="AG127" s="12" t="s">
        <v>460</v>
      </c>
      <c r="AH127" s="75"/>
      <c r="AI127" s="7"/>
      <c r="AJ127" s="7" t="s">
        <v>1810</v>
      </c>
      <c r="AK127" s="7" t="s">
        <v>1811</v>
      </c>
      <c r="AL127" s="7" t="s">
        <v>1812</v>
      </c>
      <c r="AM127" s="7" t="s">
        <v>1813</v>
      </c>
      <c r="AN127" s="7"/>
      <c r="AO127" s="7" t="s">
        <v>1814</v>
      </c>
      <c r="AP127" s="7" t="s">
        <v>1815</v>
      </c>
      <c r="AQ127" s="7"/>
      <c r="AR127" s="7" t="s">
        <v>1816</v>
      </c>
      <c r="AS127" s="7" t="s">
        <v>1817</v>
      </c>
      <c r="AT127" s="7" t="s">
        <v>1818</v>
      </c>
      <c r="AU127" s="7" t="s">
        <v>1819</v>
      </c>
      <c r="AV127" s="12"/>
      <c r="AW127" s="12"/>
      <c r="AX127" s="7"/>
      <c r="AY127" s="12"/>
      <c r="AZ127" s="12" t="s">
        <v>1820</v>
      </c>
      <c r="BA127" s="91"/>
      <c r="BB127" s="7" t="s">
        <v>1821</v>
      </c>
      <c r="BC127" s="9"/>
      <c r="BD127" s="75"/>
      <c r="BE127" s="75"/>
      <c r="BF127" s="7"/>
      <c r="BG127" s="75"/>
      <c r="BH127" s="12" t="s">
        <v>1822</v>
      </c>
      <c r="BI127" s="135"/>
      <c r="BJ127" s="64" t="s">
        <v>1823</v>
      </c>
      <c r="BK127" s="7" t="s">
        <v>1824</v>
      </c>
      <c r="BL127" s="7" t="s">
        <v>1825</v>
      </c>
      <c r="BM127" s="91"/>
      <c r="BN127" s="75"/>
      <c r="BO127" s="12"/>
      <c r="BP127" s="7"/>
      <c r="BQ127" s="7"/>
      <c r="BR127" s="7"/>
      <c r="BS127" s="7"/>
      <c r="BT127" s="7"/>
      <c r="BU127" s="7"/>
      <c r="BV127" s="7"/>
      <c r="BW127" s="7">
        <v>22</v>
      </c>
      <c r="BX127" s="12"/>
      <c r="BY127" s="7"/>
      <c r="BZ127" s="75"/>
      <c r="CA127" s="75"/>
      <c r="CB127" s="7"/>
      <c r="CC127" s="12"/>
      <c r="CD127" s="75"/>
      <c r="CE127" s="133"/>
      <c r="CF127" s="12"/>
      <c r="CG127" s="7"/>
      <c r="CH127" s="7"/>
      <c r="CI127" s="7"/>
      <c r="CJ127" s="12"/>
      <c r="CK127" s="75"/>
      <c r="CL127" s="12"/>
      <c r="CM127" s="75"/>
      <c r="CN127" s="12"/>
      <c r="CO127" s="75"/>
      <c r="CP127" s="75"/>
      <c r="CQ127" s="75"/>
      <c r="CR127" s="12"/>
      <c r="CS127" s="12"/>
      <c r="CT127" s="7"/>
      <c r="CU127" s="7"/>
      <c r="CV127" s="10"/>
      <c r="CW127" s="10" t="s">
        <v>460</v>
      </c>
      <c r="CX127" s="10" t="s">
        <v>460</v>
      </c>
      <c r="CY127" s="10"/>
      <c r="CZ127" s="10"/>
      <c r="DA127" s="10" t="s">
        <v>460</v>
      </c>
      <c r="DB127" s="16"/>
      <c r="DC127" s="16"/>
      <c r="DD127" s="12"/>
      <c r="DE127" s="7"/>
      <c r="DF127" s="16"/>
      <c r="DG127" s="12"/>
      <c r="DH127" s="16"/>
      <c r="DI127" s="83"/>
      <c r="DJ127" s="83"/>
      <c r="DK127" s="7"/>
      <c r="DL127" s="12" t="s">
        <v>460</v>
      </c>
      <c r="DM127" s="12" t="s">
        <v>460</v>
      </c>
      <c r="DN127" s="12" t="s">
        <v>460</v>
      </c>
      <c r="DO127" s="12" t="s">
        <v>460</v>
      </c>
      <c r="DP127" s="7"/>
      <c r="DQ127" s="7"/>
      <c r="DR127" s="7"/>
      <c r="DS127" s="7" t="s">
        <v>1826</v>
      </c>
      <c r="DT127" s="7"/>
      <c r="DU127" s="26" t="s">
        <v>460</v>
      </c>
      <c r="DV127" s="26"/>
      <c r="DW127" s="26"/>
      <c r="DX127" s="26"/>
      <c r="DY127" s="74"/>
      <c r="DZ127" s="75"/>
      <c r="EA127" s="7" t="s">
        <v>460</v>
      </c>
    </row>
    <row r="128" spans="1:131" x14ac:dyDescent="0.3">
      <c r="A128" s="134" t="s">
        <v>1827</v>
      </c>
      <c r="B128" s="7"/>
      <c r="C128" s="7"/>
      <c r="D128" s="7" t="s">
        <v>1828</v>
      </c>
      <c r="E128" s="7"/>
      <c r="F128" s="7"/>
      <c r="G128" s="7"/>
      <c r="H128" s="12"/>
      <c r="I128" s="12" t="s">
        <v>1829</v>
      </c>
      <c r="J128" s="7"/>
      <c r="K128" s="7"/>
      <c r="L128" s="12"/>
      <c r="M128" s="7"/>
      <c r="N128" s="12"/>
      <c r="O128" s="75"/>
      <c r="P128" s="7"/>
      <c r="Q128" s="12" t="s">
        <v>1830</v>
      </c>
      <c r="R128" s="119"/>
      <c r="S128" s="75"/>
      <c r="T128" s="75"/>
      <c r="U128" s="7"/>
      <c r="V128" s="64"/>
      <c r="W128" s="12" t="s">
        <v>1831</v>
      </c>
      <c r="X128" s="10" t="s">
        <v>1832</v>
      </c>
      <c r="Y128" s="75"/>
      <c r="Z128" s="10"/>
      <c r="AA128" s="16"/>
      <c r="AB128" s="16"/>
      <c r="AC128" s="75"/>
      <c r="AD128" s="10"/>
      <c r="AE128" s="7"/>
      <c r="AF128" s="7"/>
      <c r="AG128" s="12"/>
      <c r="AH128" s="75"/>
      <c r="AI128" s="7"/>
      <c r="AJ128" s="7">
        <v>21</v>
      </c>
      <c r="AK128" s="7">
        <v>14</v>
      </c>
      <c r="AL128" s="7">
        <v>8</v>
      </c>
      <c r="AM128" s="7">
        <v>28</v>
      </c>
      <c r="AN128" s="7"/>
      <c r="AO128" s="7">
        <v>21</v>
      </c>
      <c r="AP128" s="7">
        <v>16</v>
      </c>
      <c r="AQ128" s="7"/>
      <c r="AR128" s="7"/>
      <c r="AS128" s="7">
        <v>14</v>
      </c>
      <c r="AT128" s="7">
        <v>4</v>
      </c>
      <c r="AU128" s="7"/>
      <c r="AV128" s="12"/>
      <c r="AW128" s="12"/>
      <c r="AX128" s="7"/>
      <c r="AY128" s="12"/>
      <c r="AZ128" s="12">
        <v>16</v>
      </c>
      <c r="BA128" s="91"/>
      <c r="BB128" s="7">
        <v>19</v>
      </c>
      <c r="BC128" s="9"/>
      <c r="BD128" s="75"/>
      <c r="BE128" s="75"/>
      <c r="BF128" s="7"/>
      <c r="BG128" s="75"/>
      <c r="BH128" s="12">
        <v>7</v>
      </c>
      <c r="BI128" s="135"/>
      <c r="BJ128" s="64">
        <v>21</v>
      </c>
      <c r="BK128" s="7">
        <v>24</v>
      </c>
      <c r="BL128" s="7">
        <v>28</v>
      </c>
      <c r="BM128" s="91"/>
      <c r="BN128" s="75"/>
      <c r="BO128" s="12"/>
      <c r="BP128" s="7"/>
      <c r="BQ128" s="7" t="s">
        <v>460</v>
      </c>
      <c r="BR128" s="7"/>
      <c r="BS128" s="7"/>
      <c r="BT128" s="7"/>
      <c r="BU128" s="7"/>
      <c r="BV128" s="7" t="s">
        <v>460</v>
      </c>
      <c r="BW128" s="7"/>
      <c r="BX128" s="12"/>
      <c r="BY128" s="7"/>
      <c r="BZ128" s="75"/>
      <c r="CA128" s="75"/>
      <c r="CB128" s="7"/>
      <c r="CC128" s="12"/>
      <c r="CD128" s="75"/>
      <c r="CE128" s="133"/>
      <c r="CF128" s="12"/>
      <c r="CG128" s="7"/>
      <c r="CH128" s="7"/>
      <c r="CI128" s="7"/>
      <c r="CJ128" s="12"/>
      <c r="CK128" s="75"/>
      <c r="CL128" s="12"/>
      <c r="CM128" s="75"/>
      <c r="CN128" s="12"/>
      <c r="CO128" s="75"/>
      <c r="CP128" s="75"/>
      <c r="CQ128" s="75"/>
      <c r="CR128" s="12"/>
      <c r="CS128" s="12"/>
      <c r="CT128" s="7"/>
      <c r="CU128" s="27" t="s">
        <v>460</v>
      </c>
      <c r="CV128" s="10"/>
      <c r="CW128" s="10"/>
      <c r="CX128" s="10"/>
      <c r="CY128" s="10"/>
      <c r="CZ128" s="10"/>
      <c r="DA128" s="10"/>
      <c r="DB128" s="16"/>
      <c r="DC128" s="16"/>
      <c r="DD128" s="12"/>
      <c r="DE128" s="7"/>
      <c r="DF128" s="16"/>
      <c r="DG128" s="12"/>
      <c r="DH128" s="16"/>
      <c r="DI128" s="83"/>
      <c r="DJ128" s="83"/>
      <c r="DK128" s="7"/>
      <c r="DL128" s="12"/>
      <c r="DM128" s="12"/>
      <c r="DN128" s="12"/>
      <c r="DO128" s="12"/>
      <c r="DP128" s="7"/>
      <c r="DQ128" s="7"/>
      <c r="DR128" s="7"/>
      <c r="DS128" s="7" t="s">
        <v>1833</v>
      </c>
      <c r="DT128" s="7"/>
      <c r="DU128" s="26"/>
      <c r="DV128" s="26"/>
      <c r="DW128" s="26"/>
      <c r="DX128" s="26"/>
      <c r="DY128" s="74"/>
      <c r="DZ128" s="75"/>
      <c r="EA128" s="7"/>
    </row>
    <row r="129" spans="1:131" x14ac:dyDescent="0.3">
      <c r="A129" s="134" t="s">
        <v>1834</v>
      </c>
      <c r="B129" s="7"/>
      <c r="C129" s="7"/>
      <c r="D129" s="7">
        <v>26</v>
      </c>
      <c r="E129" s="7"/>
      <c r="F129" s="7"/>
      <c r="G129" s="7"/>
      <c r="H129" s="12"/>
      <c r="I129" s="12">
        <v>4</v>
      </c>
      <c r="J129" s="7"/>
      <c r="K129" s="7"/>
      <c r="L129" s="12"/>
      <c r="M129" s="7"/>
      <c r="N129" s="12"/>
      <c r="O129" s="75"/>
      <c r="P129" s="7"/>
      <c r="Q129" s="12">
        <v>23</v>
      </c>
      <c r="R129" s="119"/>
      <c r="S129" s="75"/>
      <c r="T129" s="75"/>
      <c r="U129" s="7"/>
      <c r="V129" s="64"/>
      <c r="W129" s="12">
        <v>32</v>
      </c>
      <c r="X129" s="10">
        <v>24</v>
      </c>
      <c r="Y129" s="75"/>
      <c r="Z129" s="10"/>
      <c r="AA129" s="16"/>
      <c r="AB129" s="16"/>
      <c r="AC129" s="75"/>
      <c r="AD129" s="10"/>
      <c r="AE129" s="7"/>
      <c r="AF129" s="7"/>
      <c r="AG129" s="12"/>
      <c r="AH129" s="75"/>
      <c r="AI129" s="7"/>
      <c r="AJ129" s="7" t="s">
        <v>1765</v>
      </c>
      <c r="AK129" s="7"/>
      <c r="AL129" s="7" t="s">
        <v>460</v>
      </c>
      <c r="AM129" s="7" t="s">
        <v>1597</v>
      </c>
      <c r="AN129" s="7"/>
      <c r="AO129" s="7" t="s">
        <v>1599</v>
      </c>
      <c r="AP129" s="7"/>
      <c r="AQ129" s="7"/>
      <c r="AR129" s="7"/>
      <c r="AS129" s="7" t="s">
        <v>1597</v>
      </c>
      <c r="AT129" s="7" t="s">
        <v>460</v>
      </c>
      <c r="AU129" s="7"/>
      <c r="AV129" s="12"/>
      <c r="AW129" s="12"/>
      <c r="AX129" s="7"/>
      <c r="AY129" s="12" t="s">
        <v>460</v>
      </c>
      <c r="AZ129" s="12" t="s">
        <v>1599</v>
      </c>
      <c r="BA129" s="91"/>
      <c r="BB129" s="7" t="s">
        <v>460</v>
      </c>
      <c r="BC129" s="9"/>
      <c r="BD129" s="75"/>
      <c r="BE129" s="75"/>
      <c r="BF129" s="7" t="s">
        <v>460</v>
      </c>
      <c r="BG129" s="75"/>
      <c r="BH129" s="12" t="s">
        <v>460</v>
      </c>
      <c r="BI129" s="135" t="s">
        <v>460</v>
      </c>
      <c r="BJ129" s="64" t="s">
        <v>1621</v>
      </c>
      <c r="BK129" s="7" t="s">
        <v>460</v>
      </c>
      <c r="BL129" s="7" t="s">
        <v>1600</v>
      </c>
      <c r="BM129" s="91"/>
      <c r="BN129" s="75"/>
      <c r="BO129" s="137" t="s">
        <v>460</v>
      </c>
      <c r="BP129" s="7"/>
      <c r="BQ129" s="7"/>
      <c r="BR129" s="7"/>
      <c r="BS129" s="7"/>
      <c r="BT129" s="7"/>
      <c r="BU129" s="7"/>
      <c r="BV129" s="7"/>
      <c r="BW129" s="7"/>
      <c r="BX129" s="70"/>
      <c r="BY129" s="7"/>
      <c r="BZ129" s="75"/>
      <c r="CA129" s="75"/>
      <c r="CB129" s="41"/>
      <c r="CC129" s="12"/>
      <c r="CD129" s="75"/>
      <c r="CE129" s="138"/>
      <c r="CF129" s="12"/>
      <c r="CG129" s="7"/>
      <c r="CH129" s="41"/>
      <c r="CI129" s="7"/>
      <c r="CJ129" s="12"/>
      <c r="CK129" s="75"/>
      <c r="CL129" s="12"/>
      <c r="CM129" s="75"/>
      <c r="CN129" s="70"/>
      <c r="CO129" s="75"/>
      <c r="CP129" s="75"/>
      <c r="CQ129" s="75"/>
      <c r="CR129" s="91"/>
      <c r="CS129" s="12"/>
      <c r="CT129" s="7"/>
      <c r="CU129" s="7"/>
      <c r="CV129" s="10"/>
      <c r="CW129" s="10"/>
      <c r="CX129" s="10"/>
      <c r="CY129" s="10"/>
      <c r="CZ129" s="10"/>
      <c r="DA129" s="10"/>
      <c r="DB129" s="16"/>
      <c r="DC129" s="16"/>
      <c r="DD129" s="12"/>
      <c r="DE129" s="7"/>
      <c r="DF129" s="16"/>
      <c r="DG129" s="12"/>
      <c r="DH129" s="16"/>
      <c r="DI129" s="83"/>
      <c r="DJ129" s="83"/>
      <c r="DK129" s="7"/>
      <c r="DL129" s="12"/>
      <c r="DM129" s="12"/>
      <c r="DN129" s="12"/>
      <c r="DO129" s="12"/>
      <c r="DP129" s="7"/>
      <c r="DQ129" s="7"/>
      <c r="DR129" s="7"/>
      <c r="DS129" s="7">
        <v>22</v>
      </c>
      <c r="DT129" s="7"/>
      <c r="DU129" s="26"/>
      <c r="DV129" s="26"/>
      <c r="DW129" s="26"/>
      <c r="DX129" s="26"/>
      <c r="DY129" s="74"/>
      <c r="DZ129" s="75"/>
      <c r="EA129" s="7"/>
    </row>
    <row r="130" spans="1:131" x14ac:dyDescent="0.3">
      <c r="A130" s="9" t="s">
        <v>1835</v>
      </c>
      <c r="B130" s="7"/>
      <c r="C130" s="7"/>
      <c r="D130" s="7"/>
      <c r="E130" s="7"/>
      <c r="F130" s="7"/>
      <c r="G130" s="7"/>
      <c r="H130" s="12"/>
      <c r="I130" s="12" t="s">
        <v>1625</v>
      </c>
      <c r="J130" s="7"/>
      <c r="K130" s="7"/>
      <c r="L130" s="12"/>
      <c r="M130" s="7"/>
      <c r="N130" s="12"/>
      <c r="O130" s="75"/>
      <c r="P130" s="7"/>
      <c r="Q130" s="12" t="s">
        <v>1809</v>
      </c>
      <c r="R130" s="119"/>
      <c r="S130" s="75"/>
      <c r="T130" s="75"/>
      <c r="U130" s="7" t="s">
        <v>460</v>
      </c>
      <c r="V130" s="64"/>
      <c r="W130" s="12"/>
      <c r="X130" s="10" t="s">
        <v>1599</v>
      </c>
      <c r="Y130" s="75"/>
      <c r="Z130" s="10" t="s">
        <v>460</v>
      </c>
      <c r="AA130" s="16"/>
      <c r="AB130" s="75"/>
      <c r="AC130" s="75"/>
      <c r="AD130" s="10" t="s">
        <v>460</v>
      </c>
      <c r="AE130" s="7" t="s">
        <v>460</v>
      </c>
      <c r="AF130" s="7" t="s">
        <v>460</v>
      </c>
      <c r="AG130" s="12" t="s">
        <v>460</v>
      </c>
      <c r="AH130" s="75"/>
      <c r="AI130" s="7"/>
      <c r="AJ130" s="7" t="s">
        <v>1836</v>
      </c>
      <c r="AK130" s="7"/>
      <c r="AL130" s="7"/>
      <c r="AM130" s="7" t="s">
        <v>1837</v>
      </c>
      <c r="AN130" s="7"/>
      <c r="AO130" s="7" t="s">
        <v>1838</v>
      </c>
      <c r="AP130" s="7"/>
      <c r="AQ130" s="7"/>
      <c r="AR130" s="7"/>
      <c r="AS130" s="7" t="s">
        <v>1839</v>
      </c>
      <c r="AT130" s="7"/>
      <c r="AU130" s="7"/>
      <c r="AV130" s="12"/>
      <c r="AW130" s="12"/>
      <c r="AX130" s="7"/>
      <c r="AY130" s="72"/>
      <c r="AZ130" s="12" t="s">
        <v>1840</v>
      </c>
      <c r="BA130" s="91"/>
      <c r="BB130" s="7"/>
      <c r="BC130" s="75"/>
      <c r="BD130" s="75"/>
      <c r="BE130" s="75"/>
      <c r="BF130" s="7"/>
      <c r="BG130" s="75"/>
      <c r="BH130" s="12"/>
      <c r="BI130" s="135"/>
      <c r="BJ130" s="64" t="s">
        <v>1841</v>
      </c>
      <c r="BK130" s="7"/>
      <c r="BL130" s="7" t="s">
        <v>1842</v>
      </c>
      <c r="BM130" s="91"/>
      <c r="BN130" s="75"/>
      <c r="BO130" s="12"/>
      <c r="BP130" s="9"/>
      <c r="BQ130" s="9"/>
      <c r="BR130" s="9"/>
      <c r="BS130" s="9"/>
      <c r="BT130" s="9"/>
      <c r="BU130" s="9"/>
      <c r="BV130" s="7"/>
      <c r="BW130" s="12"/>
      <c r="BX130" s="12"/>
      <c r="BY130" s="7"/>
      <c r="BZ130" s="75"/>
      <c r="CA130" s="75"/>
      <c r="CB130" s="75"/>
      <c r="CC130" s="12"/>
      <c r="CD130" s="75"/>
      <c r="CE130" s="133"/>
      <c r="CF130" s="12"/>
      <c r="CG130" s="9"/>
      <c r="CH130" s="7"/>
      <c r="CI130" s="7"/>
      <c r="CJ130" s="12"/>
      <c r="CK130" s="75"/>
      <c r="CL130" s="12"/>
      <c r="CM130" s="75"/>
      <c r="CN130" s="12"/>
      <c r="CO130" s="75"/>
      <c r="CP130" s="75"/>
      <c r="CQ130" s="75"/>
      <c r="CR130" s="91"/>
      <c r="CS130" s="12"/>
      <c r="CT130" s="7"/>
      <c r="CU130" s="7"/>
      <c r="CV130" s="139"/>
      <c r="CW130" s="139"/>
      <c r="CX130" s="139"/>
      <c r="CY130" s="139"/>
      <c r="CZ130" s="139"/>
      <c r="DA130" s="139"/>
      <c r="DB130" s="139"/>
      <c r="DC130" s="139"/>
      <c r="DD130" s="139"/>
      <c r="DE130" s="139"/>
      <c r="DF130" s="139"/>
      <c r="DG130" s="139"/>
      <c r="DH130" s="139"/>
      <c r="DI130" s="139"/>
      <c r="DJ130" s="139"/>
      <c r="DK130" s="139"/>
      <c r="DL130" s="139"/>
      <c r="DM130" s="139"/>
      <c r="DP130" s="7"/>
      <c r="DQ130" s="7"/>
      <c r="DR130" s="7"/>
      <c r="DS130" s="7" t="s">
        <v>1843</v>
      </c>
      <c r="DT130" s="7"/>
    </row>
    <row r="131" spans="1:131" x14ac:dyDescent="0.3">
      <c r="A131" s="9" t="s">
        <v>1844</v>
      </c>
      <c r="B131" s="7"/>
      <c r="C131" s="7"/>
      <c r="D131" s="7"/>
      <c r="E131" s="7"/>
      <c r="F131" s="7"/>
      <c r="G131" s="7"/>
      <c r="H131" s="12"/>
      <c r="I131" s="12" t="s">
        <v>1845</v>
      </c>
      <c r="J131" s="7"/>
      <c r="K131" s="7"/>
      <c r="L131" s="70"/>
      <c r="M131" s="75"/>
      <c r="N131" s="70"/>
      <c r="O131" s="75"/>
      <c r="P131" s="7"/>
      <c r="Q131" s="12" t="s">
        <v>1846</v>
      </c>
      <c r="R131" s="119"/>
      <c r="S131" s="75"/>
      <c r="T131" s="75"/>
      <c r="U131" s="7"/>
      <c r="V131" s="64"/>
      <c r="W131" s="12"/>
      <c r="X131" s="10" t="s">
        <v>1847</v>
      </c>
      <c r="Y131" s="75"/>
      <c r="Z131" s="10"/>
      <c r="AA131" s="16"/>
      <c r="AB131" s="75"/>
      <c r="AC131" s="75"/>
      <c r="AD131" s="10"/>
      <c r="AE131" s="7"/>
      <c r="AF131" s="7"/>
      <c r="AG131" s="12"/>
      <c r="AH131" s="75"/>
      <c r="AI131" s="7"/>
      <c r="AJ131" s="7">
        <v>19</v>
      </c>
      <c r="AK131" s="7"/>
      <c r="AL131" s="7"/>
      <c r="AM131" s="7">
        <v>18</v>
      </c>
      <c r="AN131" s="7"/>
      <c r="AO131" s="7">
        <v>9</v>
      </c>
      <c r="AP131" s="7"/>
      <c r="AQ131" s="7"/>
      <c r="AR131" s="7"/>
      <c r="AS131" s="7">
        <v>14</v>
      </c>
      <c r="AT131" s="7"/>
      <c r="AU131" s="7"/>
      <c r="AV131" s="12"/>
      <c r="AW131" s="12"/>
      <c r="AX131" s="7"/>
      <c r="AY131" s="72"/>
      <c r="AZ131" s="12">
        <v>9</v>
      </c>
      <c r="BA131" s="91"/>
      <c r="BB131" s="7"/>
      <c r="BC131" s="75"/>
      <c r="BD131" s="75"/>
      <c r="BE131" s="75"/>
      <c r="BF131" s="7"/>
      <c r="BG131" s="75"/>
      <c r="BH131" s="12"/>
      <c r="BI131" s="135"/>
      <c r="BJ131" s="64">
        <v>28</v>
      </c>
      <c r="BK131" s="7"/>
      <c r="BL131" s="7">
        <v>23</v>
      </c>
      <c r="BM131" s="91"/>
      <c r="BN131" s="75"/>
      <c r="BO131" s="12"/>
      <c r="BP131" s="18"/>
      <c r="BQ131" s="18"/>
      <c r="BR131" s="18"/>
      <c r="BS131" s="18"/>
      <c r="BT131" s="18"/>
      <c r="BU131" s="18"/>
      <c r="BV131" s="69"/>
      <c r="BW131" s="69"/>
      <c r="BX131" s="69"/>
      <c r="BY131" s="69"/>
      <c r="CE131" s="140"/>
      <c r="CG131" s="18"/>
      <c r="CH131" s="69"/>
      <c r="CN131" s="69"/>
      <c r="CV131" s="139"/>
      <c r="CW131" s="139"/>
      <c r="CX131" s="139"/>
      <c r="CY131" s="139"/>
      <c r="CZ131" s="139"/>
      <c r="DA131" s="139"/>
      <c r="DB131" s="139"/>
      <c r="DC131" s="139"/>
      <c r="DD131" s="139"/>
      <c r="DE131" s="139"/>
      <c r="DF131" s="139"/>
      <c r="DG131" s="139"/>
      <c r="DH131" s="139"/>
      <c r="DI131" s="139"/>
      <c r="DJ131" s="139"/>
      <c r="DK131" s="139"/>
      <c r="DL131" s="139"/>
      <c r="DM131" s="139"/>
      <c r="DP131" s="7"/>
      <c r="DQ131" s="7"/>
      <c r="DR131" s="7"/>
      <c r="DS131" s="7" t="s">
        <v>1848</v>
      </c>
      <c r="DT131" s="7"/>
    </row>
    <row r="132" spans="1:131" x14ac:dyDescent="0.3">
      <c r="A132" s="9" t="s">
        <v>1849</v>
      </c>
      <c r="B132" s="7"/>
      <c r="C132" s="7"/>
      <c r="D132" s="7"/>
      <c r="E132" s="7"/>
      <c r="F132" s="7"/>
      <c r="G132" s="7"/>
      <c r="H132" s="12"/>
      <c r="I132" s="12">
        <v>1</v>
      </c>
      <c r="J132" s="7"/>
      <c r="K132" s="7"/>
      <c r="L132" s="12"/>
      <c r="M132" s="75"/>
      <c r="N132" s="12"/>
      <c r="O132" s="75"/>
      <c r="P132" s="41"/>
      <c r="Q132" s="12">
        <v>21</v>
      </c>
      <c r="R132" s="119"/>
      <c r="S132" s="75"/>
      <c r="T132" s="75"/>
      <c r="U132" s="7"/>
      <c r="V132" s="64"/>
      <c r="W132" s="70"/>
      <c r="X132" s="10">
        <v>20</v>
      </c>
      <c r="Y132" s="75"/>
      <c r="Z132" s="10"/>
      <c r="AA132" s="16"/>
      <c r="AB132" s="75"/>
      <c r="AC132" s="75"/>
      <c r="AD132" s="10"/>
      <c r="AE132" s="7"/>
      <c r="AF132" s="7"/>
      <c r="AG132" s="12"/>
      <c r="AH132" s="75"/>
      <c r="AI132" s="7"/>
      <c r="AJ132" s="7" t="s">
        <v>460</v>
      </c>
      <c r="AK132" s="7"/>
      <c r="AL132" s="7" t="s">
        <v>460</v>
      </c>
      <c r="AM132" s="7" t="s">
        <v>460</v>
      </c>
      <c r="AN132" s="7"/>
      <c r="AO132" s="7" t="s">
        <v>460</v>
      </c>
      <c r="AP132" s="7"/>
      <c r="AQ132" s="7"/>
      <c r="AR132" s="7"/>
      <c r="AS132" s="7" t="s">
        <v>460</v>
      </c>
      <c r="AT132" s="7"/>
      <c r="AU132" s="7"/>
      <c r="AV132" s="12"/>
      <c r="AW132" s="12"/>
      <c r="AX132" s="7"/>
      <c r="AY132" s="72"/>
      <c r="AZ132" s="12" t="s">
        <v>1599</v>
      </c>
      <c r="BA132" s="91"/>
      <c r="BB132" s="7" t="s">
        <v>460</v>
      </c>
      <c r="BC132" s="75"/>
      <c r="BD132" s="75"/>
      <c r="BE132" s="75"/>
      <c r="BF132" s="7" t="s">
        <v>460</v>
      </c>
      <c r="BG132" s="75"/>
      <c r="BH132" s="12" t="s">
        <v>460</v>
      </c>
      <c r="BI132" s="135"/>
      <c r="BJ132" s="64" t="s">
        <v>460</v>
      </c>
      <c r="BK132" s="7" t="s">
        <v>460</v>
      </c>
      <c r="BL132" s="7" t="s">
        <v>1850</v>
      </c>
      <c r="BM132" s="91"/>
      <c r="BN132" s="75"/>
      <c r="BO132" s="12" t="s">
        <v>460</v>
      </c>
      <c r="BP132" s="18"/>
      <c r="BQ132" s="18"/>
      <c r="BR132" s="18"/>
      <c r="BS132" s="18"/>
      <c r="BT132" s="18"/>
      <c r="BU132" s="18"/>
      <c r="BV132" s="69"/>
      <c r="BW132" s="18"/>
      <c r="BX132" s="69"/>
      <c r="CE132" s="140"/>
      <c r="CG132" s="18"/>
      <c r="CH132" s="69"/>
      <c r="CN132" s="69"/>
      <c r="CV132" s="18"/>
      <c r="CW132" s="18"/>
      <c r="CX132" s="18"/>
      <c r="CY132" s="18"/>
      <c r="CZ132" s="18"/>
      <c r="DA132" s="18"/>
      <c r="DB132" s="18"/>
      <c r="DC132" s="18"/>
      <c r="DD132" s="18"/>
      <c r="DE132" s="18"/>
      <c r="DF132" s="18"/>
      <c r="DG132" s="18"/>
      <c r="DH132" s="18"/>
      <c r="DI132" s="18"/>
      <c r="DJ132" s="18"/>
      <c r="DK132" s="18"/>
      <c r="DL132" s="18"/>
      <c r="DM132" s="18"/>
      <c r="DP132" s="7"/>
      <c r="DQ132" s="7"/>
      <c r="DR132" s="7"/>
      <c r="DS132" s="7">
        <v>7</v>
      </c>
      <c r="DT132" s="7"/>
    </row>
    <row r="133" spans="1:131" x14ac:dyDescent="0.3">
      <c r="A133" s="133" t="s">
        <v>1851</v>
      </c>
      <c r="B133" s="7"/>
      <c r="C133" s="7"/>
      <c r="D133" s="7"/>
      <c r="E133" s="7"/>
      <c r="F133" s="7"/>
      <c r="G133" s="7"/>
      <c r="H133" s="12"/>
      <c r="I133" s="12"/>
      <c r="J133" s="7"/>
      <c r="K133" s="75"/>
      <c r="L133" s="91"/>
      <c r="M133" s="75"/>
      <c r="N133" s="91"/>
      <c r="O133" s="75"/>
      <c r="P133" s="75"/>
      <c r="Q133" s="12"/>
      <c r="R133" s="119"/>
      <c r="S133" s="75"/>
      <c r="T133" s="75"/>
      <c r="U133" s="75"/>
      <c r="V133" s="69"/>
      <c r="W133" s="12"/>
      <c r="X133" s="46"/>
      <c r="Y133" s="75"/>
      <c r="Z133" s="10"/>
      <c r="AA133" s="75"/>
      <c r="AB133" s="75"/>
      <c r="AC133" s="75"/>
      <c r="AD133" s="10"/>
      <c r="AE133" s="7"/>
      <c r="AF133" s="75"/>
      <c r="AG133" s="119"/>
      <c r="AH133" s="75"/>
      <c r="AI133" s="7"/>
      <c r="AJ133" s="7"/>
      <c r="AK133" s="7"/>
      <c r="AL133" s="7"/>
      <c r="AM133" s="7"/>
      <c r="AN133" s="7"/>
      <c r="AO133" s="7"/>
      <c r="AP133" s="7"/>
      <c r="AQ133" s="7"/>
      <c r="AR133" s="7"/>
      <c r="AS133" s="7"/>
      <c r="AT133" s="7"/>
      <c r="AU133" s="7"/>
      <c r="AV133" s="12"/>
      <c r="AW133" s="12"/>
      <c r="AX133" s="7"/>
      <c r="AY133" s="72"/>
      <c r="AZ133" s="12" t="s">
        <v>1852</v>
      </c>
      <c r="BA133" s="91"/>
      <c r="BB133" s="7"/>
      <c r="BC133" s="75"/>
      <c r="BD133" s="75"/>
      <c r="BE133" s="75"/>
      <c r="BF133" s="7"/>
      <c r="BG133" s="75"/>
      <c r="BH133" s="12"/>
      <c r="BI133" s="135"/>
      <c r="BJ133" s="64"/>
      <c r="BK133" s="7"/>
      <c r="BL133" s="7" t="s">
        <v>1853</v>
      </c>
      <c r="BM133" s="91"/>
      <c r="BN133" s="75"/>
      <c r="BO133" s="12"/>
      <c r="BP133" s="18"/>
      <c r="BQ133" s="18"/>
      <c r="BR133" s="18"/>
      <c r="BS133" s="18"/>
      <c r="BT133" s="18"/>
      <c r="BU133" s="18"/>
      <c r="BV133" s="69"/>
      <c r="BW133" s="18"/>
      <c r="CE133" s="140"/>
      <c r="CG133" s="18"/>
      <c r="CH133" s="69"/>
      <c r="CN133" s="69"/>
      <c r="CV133" s="18"/>
      <c r="CW133" s="18"/>
      <c r="CX133" s="18"/>
      <c r="CY133" s="18"/>
      <c r="CZ133" s="18"/>
      <c r="DA133" s="18"/>
      <c r="DB133" s="18"/>
      <c r="DC133" s="18"/>
      <c r="DD133" s="18"/>
      <c r="DE133" s="18"/>
      <c r="DF133" s="18"/>
      <c r="DG133" s="18"/>
      <c r="DH133" s="18"/>
      <c r="DI133" s="18"/>
      <c r="DJ133" s="18"/>
      <c r="DK133" s="18"/>
      <c r="DL133" s="18"/>
      <c r="DM133" s="18"/>
    </row>
    <row r="134" spans="1:131" x14ac:dyDescent="0.3">
      <c r="A134" s="133" t="s">
        <v>1854</v>
      </c>
      <c r="B134" s="7"/>
      <c r="C134" s="7"/>
      <c r="D134" s="7"/>
      <c r="E134" s="7"/>
      <c r="F134" s="7"/>
      <c r="G134" s="7"/>
      <c r="H134" s="12"/>
      <c r="I134" s="70"/>
      <c r="J134" s="41"/>
      <c r="K134" s="75"/>
      <c r="L134" s="91"/>
      <c r="M134" s="75"/>
      <c r="N134" s="91"/>
      <c r="O134" s="75"/>
      <c r="P134" s="75"/>
      <c r="Q134" s="70"/>
      <c r="R134" s="119"/>
      <c r="S134" s="75"/>
      <c r="T134" s="75"/>
      <c r="U134" s="75"/>
      <c r="V134" s="141"/>
      <c r="W134" s="12"/>
      <c r="X134" s="46"/>
      <c r="Y134" s="75"/>
      <c r="Z134" s="10"/>
      <c r="AA134" s="75"/>
      <c r="AB134" s="75"/>
      <c r="AC134" s="75"/>
      <c r="AD134" s="10"/>
      <c r="AE134" s="46"/>
      <c r="AF134" s="75"/>
      <c r="AG134" s="119"/>
      <c r="AH134" s="75"/>
      <c r="AI134" s="7"/>
      <c r="AJ134" s="7"/>
      <c r="AK134" s="7"/>
      <c r="AL134" s="7"/>
      <c r="AM134" s="7"/>
      <c r="AN134" s="7"/>
      <c r="AO134" s="7"/>
      <c r="AP134" s="7"/>
      <c r="AQ134" s="7"/>
      <c r="AR134" s="7"/>
      <c r="AS134" s="7"/>
      <c r="AT134" s="7"/>
      <c r="AU134" s="7"/>
      <c r="AV134" s="12"/>
      <c r="AW134" s="12"/>
      <c r="AX134" s="7"/>
      <c r="AY134" s="72"/>
      <c r="AZ134" s="12">
        <v>8</v>
      </c>
      <c r="BA134" s="91"/>
      <c r="BB134" s="7"/>
      <c r="BC134" s="75"/>
      <c r="BD134" s="75"/>
      <c r="BE134" s="75"/>
      <c r="BF134" s="7"/>
      <c r="BG134" s="75"/>
      <c r="BH134" s="12"/>
      <c r="BI134" s="135"/>
      <c r="BJ134" s="64"/>
      <c r="BK134" s="7"/>
      <c r="BL134" s="7">
        <v>10</v>
      </c>
      <c r="BM134" s="91"/>
      <c r="BN134" s="75"/>
      <c r="BO134" s="12"/>
      <c r="BP134" s="18"/>
      <c r="BQ134" s="18"/>
      <c r="BR134" s="18"/>
      <c r="BS134" s="18"/>
      <c r="BT134" s="18"/>
      <c r="BU134" s="18"/>
      <c r="BV134" s="69"/>
      <c r="BW134" s="18"/>
      <c r="CH134" s="142"/>
      <c r="CV134" s="18"/>
      <c r="CW134" s="18"/>
      <c r="CX134" s="18"/>
      <c r="CY134" s="18"/>
      <c r="CZ134" s="18"/>
      <c r="DA134" s="18"/>
      <c r="DB134" s="18"/>
      <c r="DC134" s="18"/>
      <c r="DD134" s="18"/>
      <c r="DE134" s="18"/>
      <c r="DF134" s="18"/>
      <c r="DG134" s="18"/>
      <c r="DH134" s="18"/>
      <c r="DI134" s="18"/>
      <c r="DJ134" s="18"/>
      <c r="DK134" s="18"/>
      <c r="DL134" s="18"/>
      <c r="DM134" s="18"/>
    </row>
    <row r="135" spans="1:131" x14ac:dyDescent="0.3">
      <c r="A135" s="133" t="s">
        <v>1855</v>
      </c>
      <c r="B135" s="7"/>
      <c r="C135" s="7"/>
      <c r="D135" s="7"/>
      <c r="E135" s="7"/>
      <c r="F135" s="7"/>
      <c r="G135" s="7"/>
      <c r="H135" s="12"/>
      <c r="I135" s="7"/>
      <c r="J135" s="75"/>
      <c r="K135" s="75"/>
      <c r="L135" s="91"/>
      <c r="M135" s="75"/>
      <c r="N135" s="91"/>
      <c r="O135" s="75"/>
      <c r="P135" s="75"/>
      <c r="Q135" s="12"/>
      <c r="R135" s="119"/>
      <c r="S135" s="75"/>
      <c r="T135" s="75"/>
      <c r="U135" s="75"/>
      <c r="V135" s="141"/>
      <c r="W135" s="12"/>
      <c r="X135" s="46"/>
      <c r="Y135" s="75"/>
      <c r="Z135" s="7"/>
      <c r="AA135" s="75"/>
      <c r="AB135" s="75"/>
      <c r="AC135" s="75"/>
      <c r="AD135" s="75"/>
      <c r="AE135" s="46"/>
      <c r="AF135" s="75"/>
      <c r="AG135" s="119"/>
      <c r="AH135" s="75"/>
      <c r="AI135" s="7"/>
      <c r="AJ135" s="7" t="s">
        <v>460</v>
      </c>
      <c r="AK135" s="7"/>
      <c r="AL135" s="7" t="s">
        <v>460</v>
      </c>
      <c r="AM135" s="7" t="s">
        <v>460</v>
      </c>
      <c r="AN135" s="7"/>
      <c r="AO135" s="7"/>
      <c r="AP135" s="7"/>
      <c r="AQ135" s="7"/>
      <c r="AR135" s="7"/>
      <c r="AS135" s="7"/>
      <c r="AT135" s="7"/>
      <c r="AU135" s="7"/>
      <c r="AV135" s="12"/>
      <c r="AW135" s="12"/>
      <c r="AX135" s="27"/>
      <c r="AY135" s="72"/>
      <c r="AZ135" s="12" t="s">
        <v>460</v>
      </c>
      <c r="BA135" s="91"/>
      <c r="BB135" s="7" t="s">
        <v>460</v>
      </c>
      <c r="BC135" s="75"/>
      <c r="BD135" s="75"/>
      <c r="BE135" s="75"/>
      <c r="BF135" s="7" t="s">
        <v>460</v>
      </c>
      <c r="BG135" s="75"/>
      <c r="BH135" s="12" t="s">
        <v>460</v>
      </c>
      <c r="BI135" s="135"/>
      <c r="BJ135" s="64" t="s">
        <v>460</v>
      </c>
      <c r="BK135" s="7" t="s">
        <v>460</v>
      </c>
      <c r="BL135" s="7" t="s">
        <v>1856</v>
      </c>
      <c r="BM135" s="91"/>
      <c r="BN135" s="75"/>
      <c r="BO135" s="12" t="s">
        <v>460</v>
      </c>
      <c r="BP135" s="18"/>
      <c r="BQ135" s="18"/>
      <c r="BR135" s="18"/>
      <c r="BS135" s="18"/>
      <c r="BT135" s="18"/>
      <c r="BU135" s="18"/>
      <c r="BV135" s="69"/>
      <c r="BW135" s="18"/>
      <c r="CV135" s="18"/>
      <c r="CW135" s="18"/>
      <c r="CX135" s="18"/>
      <c r="CY135" s="18"/>
      <c r="CZ135" s="18"/>
      <c r="DA135" s="18"/>
      <c r="DB135" s="18"/>
      <c r="DC135" s="18"/>
      <c r="DD135" s="18"/>
      <c r="DE135" s="18"/>
      <c r="DF135" s="18"/>
      <c r="DG135" s="18"/>
      <c r="DH135" s="18"/>
      <c r="DI135" s="18"/>
      <c r="DJ135" s="18"/>
      <c r="DK135" s="18"/>
      <c r="DL135" s="18"/>
      <c r="DM135" s="18"/>
    </row>
    <row r="136" spans="1:131" x14ac:dyDescent="0.3">
      <c r="A136" s="140"/>
      <c r="B136" s="69"/>
      <c r="C136" s="69"/>
      <c r="D136" s="69"/>
      <c r="E136" s="69"/>
      <c r="F136" s="69"/>
      <c r="G136" s="69"/>
      <c r="H136" s="69"/>
      <c r="I136" s="69"/>
      <c r="J136" s="142"/>
      <c r="Q136" s="69"/>
      <c r="Z136" s="32"/>
      <c r="AE136" s="32"/>
      <c r="AI136" s="7"/>
      <c r="AJ136" s="7"/>
      <c r="AK136" s="7"/>
      <c r="AL136" s="7"/>
      <c r="AM136" s="7"/>
      <c r="AN136" s="7"/>
      <c r="AO136" s="7"/>
      <c r="AP136" s="7"/>
      <c r="AQ136" s="7"/>
      <c r="AR136" s="7"/>
      <c r="AS136" s="7"/>
      <c r="AT136" s="7"/>
      <c r="AU136" s="7"/>
      <c r="AV136" s="70"/>
      <c r="AW136" s="12"/>
      <c r="AX136" s="7"/>
      <c r="AY136" s="72"/>
      <c r="AZ136" s="12"/>
      <c r="BA136" s="91"/>
      <c r="BB136" s="7"/>
      <c r="BC136" s="75"/>
      <c r="BD136" s="75"/>
      <c r="BE136" s="75"/>
      <c r="BF136" s="7"/>
      <c r="BG136" s="75"/>
      <c r="BH136" s="12"/>
      <c r="BI136" s="132"/>
      <c r="BJ136" s="7"/>
      <c r="BK136" s="7"/>
      <c r="BL136" s="7" t="s">
        <v>1857</v>
      </c>
      <c r="BM136" s="91"/>
      <c r="BN136" s="75"/>
      <c r="BO136" s="12"/>
      <c r="BP136" s="18"/>
      <c r="BQ136" s="18"/>
      <c r="BR136" s="18"/>
      <c r="BS136" s="18"/>
      <c r="BT136" s="18"/>
      <c r="BU136" s="18"/>
      <c r="BV136" s="69"/>
      <c r="BW136" s="18"/>
      <c r="CV136" s="18"/>
      <c r="CW136" s="18"/>
      <c r="CX136" s="18"/>
      <c r="CY136" s="18"/>
      <c r="CZ136" s="18"/>
      <c r="DA136" s="18"/>
      <c r="DB136" s="18"/>
      <c r="DC136" s="18"/>
      <c r="DD136" s="18"/>
      <c r="DE136" s="18"/>
      <c r="DF136" s="18"/>
      <c r="DG136" s="18"/>
      <c r="DH136" s="18"/>
      <c r="DI136" s="18"/>
      <c r="DJ136" s="18"/>
      <c r="DK136" s="18"/>
      <c r="DL136" s="18"/>
      <c r="DM136" s="18"/>
    </row>
    <row r="137" spans="1:131" x14ac:dyDescent="0.3">
      <c r="A137" s="140"/>
      <c r="B137" s="69"/>
      <c r="C137" s="69"/>
      <c r="D137" s="69"/>
      <c r="E137" s="69"/>
      <c r="F137" s="69"/>
      <c r="G137" s="69"/>
      <c r="H137" s="69"/>
      <c r="Q137" s="69"/>
      <c r="Z137" s="32"/>
      <c r="AE137" s="32"/>
      <c r="AI137" s="7"/>
      <c r="AJ137" s="7"/>
      <c r="AK137" s="7"/>
      <c r="AL137" s="7"/>
      <c r="AM137" s="7"/>
      <c r="AN137" s="7"/>
      <c r="AO137" s="7"/>
      <c r="AP137" s="7"/>
      <c r="AQ137" s="7"/>
      <c r="AR137" s="7"/>
      <c r="AS137" s="7"/>
      <c r="AT137" s="7"/>
      <c r="AU137" s="12"/>
      <c r="AV137" s="7"/>
      <c r="AW137" s="115"/>
      <c r="AX137" s="7"/>
      <c r="AY137" s="72"/>
      <c r="AZ137" s="12"/>
      <c r="BA137" s="91"/>
      <c r="BB137" s="7"/>
      <c r="BC137" s="75"/>
      <c r="BD137" s="75"/>
      <c r="BE137" s="75"/>
      <c r="BF137" s="7"/>
      <c r="BG137" s="75"/>
      <c r="BH137" s="70"/>
      <c r="BI137" s="75"/>
      <c r="BJ137" s="7"/>
      <c r="BK137" s="7"/>
      <c r="BL137" s="7">
        <v>7</v>
      </c>
      <c r="BM137" s="91"/>
      <c r="BN137" s="75"/>
      <c r="BO137" s="12"/>
      <c r="BP137" s="18"/>
      <c r="BQ137" s="18"/>
      <c r="BR137" s="18"/>
      <c r="BS137" s="18"/>
      <c r="BT137" s="18"/>
      <c r="BU137" s="18"/>
      <c r="BV137" s="69"/>
      <c r="BW137" s="18"/>
      <c r="CV137" s="18"/>
      <c r="CW137" s="18"/>
      <c r="CX137" s="18"/>
      <c r="CY137" s="18"/>
      <c r="CZ137" s="18"/>
      <c r="DA137" s="18"/>
      <c r="DB137" s="18"/>
      <c r="DC137" s="18"/>
      <c r="DD137" s="18"/>
      <c r="DE137" s="18"/>
      <c r="DF137" s="18"/>
      <c r="DG137" s="18"/>
      <c r="DH137" s="18"/>
      <c r="DI137" s="18"/>
      <c r="DJ137" s="18"/>
      <c r="DK137" s="18"/>
      <c r="DL137" s="18"/>
      <c r="DM137" s="18"/>
    </row>
    <row r="138" spans="1:131" x14ac:dyDescent="0.3">
      <c r="A138" s="140"/>
      <c r="B138" s="69"/>
      <c r="C138" s="69"/>
      <c r="D138" s="69"/>
      <c r="E138" s="69"/>
      <c r="F138" s="69"/>
      <c r="G138" s="69"/>
      <c r="H138" s="69"/>
      <c r="Q138" s="69"/>
      <c r="Z138" s="32"/>
      <c r="AE138" s="32"/>
      <c r="AI138" s="7"/>
      <c r="AJ138" s="7"/>
      <c r="AK138" s="7"/>
      <c r="AL138" s="7"/>
      <c r="AM138" s="7"/>
      <c r="AN138" s="7"/>
      <c r="AO138" s="7"/>
      <c r="AP138" s="7"/>
      <c r="AQ138" s="7"/>
      <c r="AR138" s="7"/>
      <c r="AS138" s="7"/>
      <c r="AT138" s="7"/>
      <c r="AU138" s="12"/>
      <c r="AV138" s="7"/>
      <c r="AW138" s="143"/>
      <c r="AX138" s="7"/>
      <c r="AY138" s="72"/>
      <c r="AZ138" s="12"/>
      <c r="BA138" s="91"/>
      <c r="BB138" s="7"/>
      <c r="BC138" s="75"/>
      <c r="BD138" s="75"/>
      <c r="BE138" s="75"/>
      <c r="BF138" s="75"/>
      <c r="BG138" s="75"/>
      <c r="BH138" s="12"/>
      <c r="BI138" s="75"/>
      <c r="BJ138" s="75"/>
      <c r="BK138" s="75"/>
      <c r="BL138" s="75"/>
      <c r="BM138" s="91"/>
      <c r="BN138" s="75"/>
      <c r="BO138" s="12"/>
      <c r="BP138" s="18"/>
      <c r="BQ138" s="18"/>
      <c r="BR138" s="18"/>
      <c r="BS138" s="18"/>
      <c r="BT138" s="18"/>
      <c r="BU138" s="18"/>
      <c r="BV138" s="69"/>
      <c r="BW138" s="18"/>
      <c r="CV138" s="18"/>
      <c r="CW138" s="18"/>
      <c r="CX138" s="18"/>
      <c r="CY138" s="18"/>
      <c r="CZ138" s="18"/>
      <c r="DA138" s="18"/>
      <c r="DB138" s="18"/>
      <c r="DC138" s="18"/>
      <c r="DD138" s="18"/>
      <c r="DE138" s="18"/>
      <c r="DF138" s="18"/>
      <c r="DG138" s="18"/>
      <c r="DH138" s="18"/>
      <c r="DI138" s="18"/>
      <c r="DJ138" s="18"/>
      <c r="DK138" s="18"/>
      <c r="DL138" s="18"/>
      <c r="DM138" s="18"/>
    </row>
    <row r="139" spans="1:131" x14ac:dyDescent="0.3">
      <c r="A139" s="140"/>
      <c r="B139" s="69"/>
      <c r="C139" s="69"/>
      <c r="D139" s="69"/>
      <c r="E139" s="69"/>
      <c r="F139" s="69"/>
      <c r="G139" s="69"/>
      <c r="H139" s="69"/>
      <c r="Z139" s="32"/>
      <c r="AI139" s="7"/>
      <c r="AJ139" s="7"/>
      <c r="AK139" s="7"/>
      <c r="AL139" s="7"/>
      <c r="AM139" s="7"/>
      <c r="AN139" s="7"/>
      <c r="AO139" s="7"/>
      <c r="AP139" s="7"/>
      <c r="AQ139" s="7"/>
      <c r="AR139" s="7"/>
      <c r="AS139" s="7"/>
      <c r="AT139" s="7"/>
      <c r="AU139" s="12"/>
      <c r="AV139" s="7"/>
      <c r="AW139" s="143"/>
      <c r="AX139" s="7"/>
      <c r="AY139" s="72"/>
      <c r="AZ139" s="12"/>
      <c r="BA139" s="91"/>
      <c r="BB139" s="7"/>
      <c r="BC139" s="75"/>
      <c r="BD139" s="75"/>
      <c r="BE139" s="75"/>
      <c r="BF139" s="75"/>
      <c r="BG139" s="75"/>
      <c r="BH139" s="91"/>
      <c r="BI139" s="75"/>
      <c r="BJ139" s="75"/>
      <c r="BK139" s="75"/>
      <c r="BL139" s="75"/>
      <c r="BM139" s="91"/>
      <c r="BN139" s="75"/>
      <c r="BO139" s="12"/>
      <c r="BP139" s="18"/>
      <c r="BQ139" s="18"/>
      <c r="BR139" s="18"/>
      <c r="BS139" s="18"/>
      <c r="BT139" s="18"/>
      <c r="BU139" s="18"/>
      <c r="BV139" s="69"/>
      <c r="BW139" s="18"/>
      <c r="CV139" s="18"/>
      <c r="CW139" s="18"/>
      <c r="CX139" s="18"/>
      <c r="CY139" s="18"/>
      <c r="CZ139" s="18"/>
      <c r="DA139" s="18"/>
      <c r="DB139" s="18"/>
      <c r="DC139" s="18"/>
      <c r="DD139" s="18"/>
      <c r="DE139" s="18"/>
      <c r="DF139" s="18"/>
      <c r="DG139" s="18"/>
      <c r="DH139" s="18"/>
      <c r="DI139" s="18"/>
      <c r="DJ139" s="18"/>
      <c r="DK139" s="18"/>
      <c r="DL139" s="18"/>
      <c r="DM139" s="18"/>
    </row>
    <row r="140" spans="1:131" x14ac:dyDescent="0.3">
      <c r="A140" s="140"/>
      <c r="B140" s="69"/>
      <c r="C140" s="69"/>
      <c r="D140" s="69"/>
      <c r="E140" s="69"/>
      <c r="F140" s="69"/>
      <c r="G140" s="69"/>
      <c r="H140" s="69"/>
      <c r="Z140" s="32"/>
      <c r="AI140" s="7"/>
      <c r="AJ140" s="7"/>
      <c r="AK140" s="7"/>
      <c r="AL140" s="7"/>
      <c r="AM140" s="7"/>
      <c r="AN140" s="7"/>
      <c r="AO140" s="7"/>
      <c r="AP140" s="7"/>
      <c r="AQ140" s="7"/>
      <c r="AR140" s="7"/>
      <c r="AS140" s="7"/>
      <c r="AT140" s="7"/>
      <c r="AU140" s="12"/>
      <c r="AV140" s="7"/>
      <c r="AW140" s="143"/>
      <c r="AX140" s="7"/>
      <c r="AY140" s="72"/>
      <c r="AZ140" s="12"/>
      <c r="BA140" s="91"/>
      <c r="BB140" s="7"/>
      <c r="BC140" s="75"/>
      <c r="BD140" s="75"/>
      <c r="BE140" s="75"/>
      <c r="BF140" s="75"/>
      <c r="BG140" s="75"/>
      <c r="BH140" s="91"/>
      <c r="BI140" s="75"/>
      <c r="BJ140" s="75"/>
      <c r="BK140" s="75"/>
      <c r="BL140" s="75"/>
      <c r="BM140" s="91"/>
      <c r="BN140" s="75"/>
      <c r="BO140" s="91"/>
      <c r="BP140" s="18"/>
      <c r="BQ140" s="18"/>
      <c r="BR140" s="18"/>
      <c r="BS140" s="18"/>
      <c r="BT140" s="18"/>
      <c r="BU140" s="18"/>
      <c r="BV140" s="18"/>
      <c r="BW140" s="18"/>
      <c r="CV140" s="18"/>
      <c r="CW140" s="18"/>
      <c r="CX140" s="18"/>
      <c r="CY140" s="18"/>
      <c r="CZ140" s="18"/>
      <c r="DA140" s="18"/>
      <c r="DB140" s="18"/>
      <c r="DC140" s="18"/>
      <c r="DD140" s="18"/>
      <c r="DE140" s="18"/>
      <c r="DF140" s="18"/>
      <c r="DG140" s="18"/>
      <c r="DH140" s="18"/>
      <c r="DI140" s="18"/>
      <c r="DJ140" s="18"/>
      <c r="DK140" s="18"/>
      <c r="DL140" s="18"/>
      <c r="DM140" s="18"/>
    </row>
    <row r="141" spans="1:131" x14ac:dyDescent="0.3">
      <c r="A141" s="140"/>
      <c r="B141" s="69"/>
      <c r="C141" s="69"/>
      <c r="D141" s="69"/>
      <c r="E141" s="69"/>
      <c r="F141" s="69"/>
      <c r="G141" s="69"/>
      <c r="H141" s="69"/>
      <c r="Z141" s="32"/>
      <c r="AI141" s="7"/>
      <c r="AJ141" s="7"/>
      <c r="AK141" s="7"/>
      <c r="AL141" s="7"/>
      <c r="AM141" s="7"/>
      <c r="AN141" s="7"/>
      <c r="AO141" s="7"/>
      <c r="AP141" s="7"/>
      <c r="AQ141" s="7"/>
      <c r="AR141" s="7"/>
      <c r="AS141" s="7"/>
      <c r="AT141" s="7"/>
      <c r="AU141" s="12"/>
      <c r="AV141" s="7"/>
      <c r="AW141" s="143"/>
      <c r="AX141" s="75"/>
      <c r="AY141" s="91"/>
      <c r="AZ141" s="91"/>
      <c r="BA141" s="91"/>
      <c r="BB141" s="75"/>
      <c r="BC141" s="75"/>
      <c r="BD141" s="75"/>
      <c r="BE141" s="75"/>
      <c r="BF141" s="75"/>
      <c r="BG141" s="75"/>
      <c r="BH141" s="91"/>
      <c r="BI141" s="75"/>
      <c r="BJ141" s="75"/>
      <c r="BK141" s="75"/>
      <c r="BL141" s="75"/>
      <c r="BM141" s="91"/>
      <c r="BN141" s="75"/>
      <c r="BO141" s="91"/>
      <c r="BP141" s="18"/>
      <c r="BQ141" s="18"/>
      <c r="BR141" s="18"/>
      <c r="BS141" s="18"/>
      <c r="BT141" s="18"/>
      <c r="BU141" s="18"/>
      <c r="BV141" s="18"/>
      <c r="BW141" s="18"/>
      <c r="CV141" s="18"/>
      <c r="CW141" s="18"/>
      <c r="CX141" s="18"/>
      <c r="CY141" s="18"/>
      <c r="CZ141" s="18"/>
      <c r="DA141" s="18"/>
      <c r="DB141" s="18"/>
      <c r="DC141" s="18"/>
      <c r="DD141" s="18"/>
      <c r="DE141" s="18"/>
      <c r="DF141" s="18"/>
      <c r="DG141" s="18"/>
      <c r="DH141" s="18"/>
      <c r="DI141" s="18"/>
      <c r="DJ141" s="18"/>
      <c r="DK141" s="18"/>
      <c r="DL141" s="18"/>
      <c r="DM141" s="18"/>
    </row>
    <row r="142" spans="1:131" x14ac:dyDescent="0.3">
      <c r="A142" s="140"/>
      <c r="B142" s="69"/>
      <c r="C142" s="69"/>
      <c r="D142" s="69"/>
      <c r="E142" s="69"/>
      <c r="F142" s="69"/>
      <c r="G142" s="69"/>
      <c r="H142" s="69"/>
      <c r="Z142" s="32"/>
      <c r="AI142" s="7"/>
      <c r="AJ142" s="7"/>
      <c r="AK142" s="7"/>
      <c r="AL142" s="7"/>
      <c r="AM142" s="7"/>
      <c r="AN142" s="7"/>
      <c r="AO142" s="7"/>
      <c r="AP142" s="7"/>
      <c r="AQ142" s="7"/>
      <c r="AR142" s="7"/>
      <c r="AS142" s="7"/>
      <c r="AT142" s="7"/>
      <c r="AU142" s="12"/>
      <c r="AV142" s="7"/>
      <c r="AW142" s="143"/>
      <c r="AX142" s="75"/>
      <c r="AY142" s="91"/>
      <c r="AZ142" s="91"/>
      <c r="BA142" s="91"/>
      <c r="BB142" s="75"/>
      <c r="BC142" s="75"/>
      <c r="BD142" s="75"/>
      <c r="BE142" s="75"/>
      <c r="BF142" s="75"/>
      <c r="BG142" s="75"/>
      <c r="BH142" s="91"/>
      <c r="BI142" s="75"/>
      <c r="BJ142" s="75"/>
      <c r="BK142" s="75"/>
      <c r="BL142" s="75"/>
      <c r="BM142" s="91"/>
      <c r="BN142" s="75"/>
      <c r="BO142" s="91"/>
      <c r="BP142" s="18"/>
      <c r="BQ142" s="18"/>
      <c r="BR142" s="18"/>
      <c r="BS142" s="18"/>
      <c r="BT142" s="18"/>
      <c r="BU142" s="18"/>
      <c r="BV142" s="18"/>
      <c r="BW142" s="18"/>
      <c r="CV142" s="18"/>
      <c r="CW142" s="18"/>
      <c r="CX142" s="18"/>
      <c r="CY142" s="18"/>
      <c r="CZ142" s="18"/>
      <c r="DA142" s="18"/>
      <c r="DB142" s="18"/>
      <c r="DC142" s="18"/>
      <c r="DD142" s="18"/>
      <c r="DE142" s="18"/>
      <c r="DF142" s="18"/>
      <c r="DG142" s="18"/>
      <c r="DH142" s="18"/>
      <c r="DI142" s="18"/>
      <c r="DJ142" s="18"/>
      <c r="DK142" s="18"/>
      <c r="DL142" s="18"/>
      <c r="DM142" s="18"/>
    </row>
    <row r="143" spans="1:131" x14ac:dyDescent="0.3">
      <c r="A143" s="140"/>
      <c r="B143" s="69"/>
      <c r="C143" s="69"/>
      <c r="D143" s="69"/>
      <c r="E143" s="69"/>
      <c r="F143" s="69"/>
      <c r="G143" s="69"/>
      <c r="H143" s="69"/>
      <c r="Z143" s="32"/>
      <c r="AI143" s="7"/>
      <c r="AJ143" s="7"/>
      <c r="AK143" s="7"/>
      <c r="AL143" s="7"/>
      <c r="AM143" s="7"/>
      <c r="AN143" s="7"/>
      <c r="AO143" s="7"/>
      <c r="AP143" s="7"/>
      <c r="AQ143" s="7"/>
      <c r="AR143" s="7"/>
      <c r="AS143" s="7"/>
      <c r="AT143" s="7"/>
      <c r="AU143" s="12"/>
      <c r="AV143" s="7"/>
      <c r="AW143" s="143"/>
      <c r="AX143" s="75"/>
      <c r="AY143" s="91"/>
      <c r="AZ143" s="91"/>
      <c r="BA143" s="91"/>
      <c r="BB143" s="75"/>
      <c r="BC143" s="75"/>
      <c r="BD143" s="75"/>
      <c r="BE143" s="75"/>
      <c r="BF143" s="75"/>
      <c r="BG143" s="75"/>
      <c r="BH143" s="91"/>
      <c r="BI143" s="75"/>
      <c r="BJ143" s="75"/>
      <c r="BK143" s="75"/>
      <c r="BL143" s="75"/>
      <c r="BM143" s="91"/>
      <c r="BN143" s="75"/>
      <c r="BO143" s="91"/>
      <c r="BP143" s="18"/>
      <c r="BQ143" s="18"/>
      <c r="BR143" s="18"/>
      <c r="BS143" s="18"/>
      <c r="BT143" s="18"/>
      <c r="BU143" s="18"/>
      <c r="BV143" s="18"/>
      <c r="BW143" s="18"/>
      <c r="CV143" s="18"/>
      <c r="CW143" s="18"/>
      <c r="CX143" s="18"/>
      <c r="CY143" s="18"/>
      <c r="CZ143" s="18"/>
      <c r="DA143" s="18"/>
      <c r="DB143" s="18"/>
      <c r="DC143" s="18"/>
      <c r="DD143" s="18"/>
      <c r="DE143" s="18"/>
      <c r="DF143" s="18"/>
      <c r="DG143" s="18"/>
      <c r="DH143" s="18"/>
      <c r="DI143" s="18"/>
      <c r="DJ143" s="18"/>
      <c r="DK143" s="18"/>
      <c r="DL143" s="18"/>
      <c r="DM143" s="18"/>
    </row>
    <row r="144" spans="1:131" x14ac:dyDescent="0.3">
      <c r="A144" s="140"/>
      <c r="B144" s="69"/>
      <c r="C144" s="69"/>
      <c r="D144" s="69"/>
      <c r="E144" s="69"/>
      <c r="F144" s="69"/>
      <c r="G144" s="69"/>
      <c r="H144" s="69"/>
      <c r="Z144" s="32"/>
      <c r="AI144" s="7"/>
      <c r="AJ144" s="7"/>
      <c r="AK144" s="7"/>
      <c r="AL144" s="7"/>
      <c r="AM144" s="7"/>
      <c r="AN144" s="7"/>
      <c r="AO144" s="7"/>
      <c r="AP144" s="7"/>
      <c r="AQ144" s="7"/>
      <c r="AR144" s="7"/>
      <c r="AS144" s="7"/>
      <c r="AT144" s="7"/>
      <c r="AU144" s="12"/>
      <c r="AV144" s="7"/>
      <c r="AW144" s="143"/>
      <c r="AX144" s="75"/>
      <c r="AY144" s="91"/>
      <c r="AZ144" s="91"/>
      <c r="BA144" s="91"/>
      <c r="BB144" s="75"/>
      <c r="BC144" s="75"/>
      <c r="BD144" s="75"/>
      <c r="BE144" s="75"/>
      <c r="BF144" s="75"/>
      <c r="BG144" s="75"/>
      <c r="BH144" s="91"/>
      <c r="BI144" s="75"/>
      <c r="BJ144" s="75"/>
      <c r="BK144" s="75"/>
      <c r="BL144" s="75"/>
      <c r="BM144" s="91"/>
      <c r="BN144" s="75"/>
      <c r="BO144" s="91"/>
      <c r="BP144" s="18"/>
      <c r="BQ144" s="18"/>
      <c r="BR144" s="18"/>
      <c r="BS144" s="18"/>
      <c r="BT144" s="18"/>
      <c r="BU144" s="18"/>
      <c r="BV144" s="18"/>
      <c r="BW144" s="18"/>
      <c r="CV144" s="18"/>
      <c r="CW144" s="18"/>
      <c r="CX144" s="18"/>
      <c r="CY144" s="18"/>
      <c r="CZ144" s="18"/>
      <c r="DA144" s="18"/>
      <c r="DB144" s="18"/>
      <c r="DC144" s="18"/>
      <c r="DD144" s="18"/>
      <c r="DE144" s="18"/>
      <c r="DF144" s="18"/>
      <c r="DG144" s="18"/>
      <c r="DH144" s="18"/>
      <c r="DI144" s="18"/>
      <c r="DJ144" s="18"/>
      <c r="DK144" s="18"/>
      <c r="DL144" s="18"/>
      <c r="DM144" s="18"/>
    </row>
    <row r="145" spans="1:117" x14ac:dyDescent="0.3">
      <c r="A145" s="140"/>
      <c r="B145" s="69"/>
      <c r="C145" s="69"/>
      <c r="D145" s="69"/>
      <c r="E145" s="69"/>
      <c r="F145" s="69"/>
      <c r="G145" s="69"/>
      <c r="H145" s="69"/>
      <c r="Z145" s="32"/>
      <c r="AI145" s="7"/>
      <c r="AJ145" s="7"/>
      <c r="AK145" s="7"/>
      <c r="AL145" s="7"/>
      <c r="AM145" s="7"/>
      <c r="AN145" s="7"/>
      <c r="AO145" s="7"/>
      <c r="AP145" s="7"/>
      <c r="AQ145" s="7"/>
      <c r="AR145" s="7"/>
      <c r="AS145" s="7"/>
      <c r="AT145" s="7"/>
      <c r="AU145" s="12"/>
      <c r="AV145" s="7"/>
      <c r="AW145" s="143"/>
      <c r="AX145" s="75"/>
      <c r="AY145" s="91"/>
      <c r="AZ145" s="91"/>
      <c r="BA145" s="91"/>
      <c r="BB145" s="75"/>
      <c r="BC145" s="75"/>
      <c r="BD145" s="75"/>
      <c r="BE145" s="75"/>
      <c r="BF145" s="75"/>
      <c r="BG145" s="75"/>
      <c r="BH145" s="91"/>
      <c r="BI145" s="75"/>
      <c r="BJ145" s="75"/>
      <c r="BK145" s="75"/>
      <c r="BL145" s="75"/>
      <c r="BM145" s="91"/>
      <c r="BN145" s="75"/>
      <c r="BO145" s="91"/>
      <c r="BP145" s="18"/>
      <c r="BQ145" s="18"/>
      <c r="BR145" s="18"/>
      <c r="BS145" s="18"/>
      <c r="BT145" s="18"/>
      <c r="BU145" s="18"/>
      <c r="BV145" s="18"/>
      <c r="BW145" s="18"/>
      <c r="CV145" s="18"/>
      <c r="CW145" s="18"/>
      <c r="CX145" s="18"/>
      <c r="CY145" s="18"/>
      <c r="CZ145" s="18"/>
      <c r="DA145" s="18"/>
      <c r="DB145" s="18"/>
      <c r="DC145" s="18"/>
      <c r="DD145" s="18"/>
      <c r="DE145" s="18"/>
      <c r="DF145" s="18"/>
      <c r="DG145" s="18"/>
      <c r="DH145" s="18"/>
      <c r="DI145" s="18"/>
      <c r="DJ145" s="18"/>
      <c r="DK145" s="18"/>
      <c r="DL145" s="18"/>
      <c r="DM145" s="18"/>
    </row>
    <row r="146" spans="1:117" x14ac:dyDescent="0.3">
      <c r="A146" s="140"/>
      <c r="B146" s="69"/>
      <c r="C146" s="69"/>
      <c r="D146" s="69"/>
      <c r="E146" s="69"/>
      <c r="F146" s="69"/>
      <c r="G146" s="69"/>
      <c r="H146" s="69"/>
      <c r="Z146" s="32"/>
      <c r="AI146" s="7"/>
      <c r="AJ146" s="7"/>
      <c r="AK146" s="7"/>
      <c r="AL146" s="7"/>
      <c r="AM146" s="7"/>
      <c r="AN146" s="7"/>
      <c r="AO146" s="7"/>
      <c r="AP146" s="7"/>
      <c r="AQ146" s="7"/>
      <c r="AR146" s="7"/>
      <c r="AS146" s="7"/>
      <c r="AT146" s="7"/>
      <c r="AU146" s="12"/>
      <c r="AV146" s="7"/>
      <c r="AW146" s="143"/>
      <c r="AX146" s="75"/>
      <c r="AY146" s="91"/>
      <c r="AZ146" s="91"/>
      <c r="BA146" s="91"/>
      <c r="BB146" s="75"/>
      <c r="BC146" s="75"/>
      <c r="BD146" s="75"/>
      <c r="BE146" s="75"/>
      <c r="BF146" s="75"/>
      <c r="BG146" s="75"/>
      <c r="BH146" s="91"/>
      <c r="BI146" s="75"/>
      <c r="BJ146" s="75"/>
      <c r="BK146" s="75"/>
      <c r="BL146" s="75"/>
      <c r="BM146" s="91"/>
      <c r="BN146" s="75"/>
      <c r="BO146" s="91"/>
      <c r="BP146" s="18"/>
      <c r="BQ146" s="18"/>
      <c r="BR146" s="18"/>
      <c r="BS146" s="18"/>
      <c r="BT146" s="18"/>
      <c r="BU146" s="18"/>
      <c r="BV146" s="18"/>
      <c r="BW146" s="18"/>
      <c r="CV146" s="18"/>
      <c r="CW146" s="18"/>
      <c r="CX146" s="18"/>
      <c r="CY146" s="18"/>
      <c r="CZ146" s="18"/>
      <c r="DA146" s="18"/>
      <c r="DB146" s="18"/>
      <c r="DC146" s="18"/>
      <c r="DD146" s="18"/>
      <c r="DE146" s="18"/>
      <c r="DF146" s="18"/>
      <c r="DG146" s="18"/>
      <c r="DH146" s="18"/>
      <c r="DI146" s="18"/>
      <c r="DJ146" s="18"/>
      <c r="DK146" s="18"/>
      <c r="DL146" s="18"/>
      <c r="DM146" s="18"/>
    </row>
    <row r="147" spans="1:117" x14ac:dyDescent="0.3">
      <c r="A147" s="140"/>
      <c r="B147" s="69"/>
      <c r="C147" s="69"/>
      <c r="D147" s="69"/>
      <c r="E147" s="69"/>
      <c r="F147" s="69"/>
      <c r="G147" s="69"/>
      <c r="H147" s="69"/>
      <c r="Z147" s="32"/>
      <c r="AI147" s="7"/>
      <c r="AJ147" s="7"/>
      <c r="AK147" s="7"/>
      <c r="AL147" s="7"/>
      <c r="AM147" s="7"/>
      <c r="AN147" s="7"/>
      <c r="AO147" s="7"/>
      <c r="AP147" s="7"/>
      <c r="AQ147" s="7"/>
      <c r="AR147" s="7"/>
      <c r="AS147" s="7"/>
      <c r="AT147" s="7"/>
      <c r="AU147" s="12"/>
      <c r="AV147" s="7"/>
      <c r="AW147" s="143"/>
      <c r="AX147" s="75"/>
      <c r="AY147" s="91"/>
      <c r="AZ147" s="91"/>
      <c r="BA147" s="91"/>
      <c r="BB147" s="75"/>
      <c r="BC147" s="75"/>
      <c r="BD147" s="75"/>
      <c r="BE147" s="75"/>
      <c r="BF147" s="75"/>
      <c r="BG147" s="75"/>
      <c r="BH147" s="91"/>
      <c r="BI147" s="75"/>
      <c r="BJ147" s="75"/>
      <c r="BK147" s="75"/>
      <c r="BL147" s="75"/>
      <c r="BM147" s="91"/>
      <c r="BN147" s="75"/>
      <c r="BO147" s="91"/>
      <c r="BP147" s="18"/>
      <c r="BQ147" s="18"/>
      <c r="BR147" s="18"/>
      <c r="BS147" s="18"/>
      <c r="BT147" s="18"/>
      <c r="BU147" s="18"/>
      <c r="BV147" s="18"/>
      <c r="BW147" s="18"/>
      <c r="CV147" s="18"/>
      <c r="CW147" s="18"/>
      <c r="CX147" s="18"/>
      <c r="CY147" s="18"/>
      <c r="CZ147" s="18"/>
      <c r="DA147" s="18"/>
      <c r="DB147" s="18"/>
      <c r="DC147" s="18"/>
      <c r="DD147" s="18"/>
      <c r="DE147" s="18"/>
      <c r="DF147" s="18"/>
      <c r="DG147" s="18"/>
      <c r="DH147" s="18"/>
      <c r="DI147" s="18"/>
      <c r="DJ147" s="18"/>
      <c r="DK147" s="18"/>
      <c r="DL147" s="18"/>
      <c r="DM147" s="18"/>
    </row>
    <row r="148" spans="1:117" x14ac:dyDescent="0.3">
      <c r="A148" s="140"/>
      <c r="B148" s="69"/>
      <c r="C148" s="69"/>
      <c r="D148" s="69"/>
      <c r="E148" s="69"/>
      <c r="F148" s="69"/>
      <c r="G148" s="69"/>
      <c r="H148" s="69"/>
      <c r="Z148" s="32"/>
      <c r="AI148" s="7"/>
      <c r="AJ148" s="7"/>
      <c r="AK148" s="7"/>
      <c r="AL148" s="7"/>
      <c r="AM148" s="7"/>
      <c r="AN148" s="7"/>
      <c r="AO148" s="7"/>
      <c r="AP148" s="7"/>
      <c r="AQ148" s="7"/>
      <c r="AR148" s="7"/>
      <c r="AS148" s="7"/>
      <c r="AT148" s="7"/>
      <c r="AU148" s="12"/>
      <c r="AV148" s="7"/>
      <c r="AW148" s="143"/>
      <c r="AX148" s="75"/>
      <c r="AY148" s="91"/>
      <c r="AZ148" s="91"/>
      <c r="BA148" s="91"/>
      <c r="BB148" s="75"/>
      <c r="BC148" s="75"/>
      <c r="BD148" s="75"/>
      <c r="BE148" s="75"/>
      <c r="BF148" s="75"/>
      <c r="BG148" s="75"/>
      <c r="BH148" s="91"/>
      <c r="BI148" s="75"/>
      <c r="BJ148" s="75"/>
      <c r="BK148" s="75"/>
      <c r="BL148" s="75"/>
      <c r="BM148" s="91"/>
      <c r="BN148" s="75"/>
      <c r="BO148" s="91"/>
      <c r="BP148" s="18"/>
      <c r="BQ148" s="18"/>
      <c r="BR148" s="18"/>
      <c r="BS148" s="18"/>
      <c r="BT148" s="18"/>
      <c r="BU148" s="18"/>
      <c r="BV148" s="18"/>
      <c r="BW148" s="18"/>
      <c r="CV148" s="18"/>
      <c r="CW148" s="18"/>
      <c r="CX148" s="18"/>
      <c r="CY148" s="18"/>
      <c r="CZ148" s="18"/>
      <c r="DA148" s="18"/>
      <c r="DB148" s="18"/>
      <c r="DC148" s="18"/>
      <c r="DD148" s="18"/>
      <c r="DE148" s="18"/>
      <c r="DF148" s="18"/>
      <c r="DG148" s="18"/>
      <c r="DH148" s="18"/>
      <c r="DI148" s="18"/>
      <c r="DJ148" s="18"/>
      <c r="DK148" s="18"/>
      <c r="DL148" s="18"/>
      <c r="DM148" s="18"/>
    </row>
    <row r="149" spans="1:117" x14ac:dyDescent="0.3">
      <c r="A149" s="140"/>
      <c r="B149" s="69"/>
      <c r="C149" s="69"/>
      <c r="D149" s="69"/>
      <c r="E149" s="69"/>
      <c r="F149" s="69"/>
      <c r="G149" s="69"/>
      <c r="H149" s="69"/>
      <c r="Z149" s="32"/>
      <c r="AI149" s="7"/>
      <c r="AJ149" s="7"/>
      <c r="AK149" s="7"/>
      <c r="AL149" s="7"/>
      <c r="AM149" s="7"/>
      <c r="AN149" s="7"/>
      <c r="AO149" s="7"/>
      <c r="AP149" s="7"/>
      <c r="AQ149" s="7"/>
      <c r="AR149" s="7"/>
      <c r="AS149" s="7"/>
      <c r="AT149" s="7"/>
      <c r="AU149" s="12"/>
      <c r="AV149" s="7"/>
      <c r="AW149" s="143"/>
      <c r="AX149" s="75"/>
      <c r="AY149" s="91"/>
      <c r="AZ149" s="91"/>
      <c r="BA149" s="91"/>
      <c r="BB149" s="75"/>
      <c r="BC149" s="75"/>
      <c r="BD149" s="75"/>
      <c r="BE149" s="75"/>
      <c r="BF149" s="75"/>
      <c r="BG149" s="75"/>
      <c r="BH149" s="91"/>
      <c r="BI149" s="75"/>
      <c r="BJ149" s="75"/>
      <c r="BK149" s="75"/>
      <c r="BL149" s="75"/>
      <c r="BM149" s="91"/>
      <c r="BN149" s="75"/>
      <c r="BO149" s="91"/>
      <c r="BP149" s="18"/>
      <c r="BQ149" s="18"/>
      <c r="BR149" s="18"/>
      <c r="BS149" s="18"/>
      <c r="BT149" s="18"/>
      <c r="BU149" s="18"/>
      <c r="BV149" s="18"/>
      <c r="BW149" s="18"/>
      <c r="CV149" s="18"/>
      <c r="CW149" s="18"/>
      <c r="CX149" s="18"/>
      <c r="CY149" s="18"/>
      <c r="CZ149" s="18"/>
      <c r="DA149" s="18"/>
      <c r="DB149" s="18"/>
      <c r="DC149" s="18"/>
      <c r="DD149" s="18"/>
      <c r="DE149" s="18"/>
      <c r="DF149" s="18"/>
      <c r="DG149" s="18"/>
      <c r="DH149" s="18"/>
      <c r="DI149" s="18"/>
      <c r="DJ149" s="18"/>
      <c r="DK149" s="18"/>
      <c r="DL149" s="18"/>
      <c r="DM149" s="18"/>
    </row>
    <row r="150" spans="1:117" x14ac:dyDescent="0.3">
      <c r="A150" s="140"/>
      <c r="B150" s="69"/>
      <c r="C150" s="69"/>
      <c r="D150" s="69"/>
      <c r="E150" s="69"/>
      <c r="F150" s="69"/>
      <c r="G150" s="69"/>
      <c r="H150" s="69"/>
      <c r="Z150" s="32"/>
      <c r="AI150" s="7"/>
      <c r="AJ150" s="7"/>
      <c r="AK150" s="7"/>
      <c r="AL150" s="7"/>
      <c r="AM150" s="7"/>
      <c r="AN150" s="7"/>
      <c r="AO150" s="7"/>
      <c r="AP150" s="7"/>
      <c r="AQ150" s="7"/>
      <c r="AR150" s="7"/>
      <c r="AS150" s="7"/>
      <c r="AT150" s="7"/>
      <c r="AU150" s="12"/>
      <c r="AV150" s="7"/>
      <c r="AW150" s="143"/>
      <c r="AX150" s="75"/>
      <c r="AY150" s="91"/>
      <c r="AZ150" s="91"/>
      <c r="BA150" s="91"/>
      <c r="BB150" s="75"/>
      <c r="BC150" s="75"/>
      <c r="BD150" s="75"/>
      <c r="BE150" s="75"/>
      <c r="BF150" s="75"/>
      <c r="BG150" s="75"/>
      <c r="BH150" s="91"/>
      <c r="BI150" s="75"/>
      <c r="BJ150" s="75"/>
      <c r="BK150" s="75"/>
      <c r="BL150" s="75"/>
      <c r="BM150" s="91"/>
      <c r="BN150" s="75"/>
      <c r="BO150" s="91"/>
      <c r="BP150" s="18"/>
      <c r="BQ150" s="18"/>
      <c r="BR150" s="18"/>
      <c r="BS150" s="18"/>
      <c r="BT150" s="18"/>
      <c r="BU150" s="18"/>
      <c r="BV150" s="18"/>
      <c r="BW150" s="18"/>
      <c r="CV150" s="18"/>
      <c r="CW150" s="18"/>
      <c r="CX150" s="18"/>
      <c r="CY150" s="18"/>
      <c r="CZ150" s="18"/>
      <c r="DA150" s="18"/>
      <c r="DB150" s="18"/>
      <c r="DC150" s="18"/>
      <c r="DD150" s="18"/>
      <c r="DE150" s="18"/>
      <c r="DF150" s="18"/>
      <c r="DG150" s="18"/>
      <c r="DH150" s="18"/>
      <c r="DI150" s="18"/>
      <c r="DJ150" s="18"/>
      <c r="DK150" s="18"/>
      <c r="DL150" s="18"/>
      <c r="DM150" s="18"/>
    </row>
    <row r="151" spans="1:117" x14ac:dyDescent="0.3">
      <c r="A151" s="140"/>
      <c r="B151" s="69"/>
      <c r="C151" s="69"/>
      <c r="D151" s="69"/>
      <c r="E151" s="69"/>
      <c r="F151" s="69"/>
      <c r="G151" s="69"/>
      <c r="H151" s="69"/>
      <c r="Z151" s="32"/>
      <c r="AI151" s="7"/>
      <c r="AJ151" s="7"/>
      <c r="AK151" s="7"/>
      <c r="AL151" s="7"/>
      <c r="AM151" s="7"/>
      <c r="AN151" s="7"/>
      <c r="AO151" s="7"/>
      <c r="AP151" s="7"/>
      <c r="AQ151" s="7"/>
      <c r="AR151" s="7"/>
      <c r="AS151" s="7"/>
      <c r="AT151" s="7"/>
      <c r="AU151" s="12"/>
      <c r="AV151" s="7"/>
      <c r="AW151" s="143"/>
      <c r="AX151" s="75"/>
      <c r="AY151" s="91"/>
      <c r="AZ151" s="91"/>
      <c r="BA151" s="91"/>
      <c r="BB151" s="75"/>
      <c r="BC151" s="75"/>
      <c r="BD151" s="75"/>
      <c r="BE151" s="75"/>
      <c r="BF151" s="75"/>
      <c r="BG151" s="75"/>
      <c r="BH151" s="91"/>
      <c r="BI151" s="75"/>
      <c r="BJ151" s="75"/>
      <c r="BK151" s="75"/>
      <c r="BL151" s="75"/>
      <c r="BM151" s="91"/>
      <c r="BN151" s="75"/>
      <c r="BO151" s="91"/>
      <c r="BP151" s="18"/>
      <c r="BQ151" s="18"/>
      <c r="BR151" s="18"/>
      <c r="BS151" s="18"/>
      <c r="BT151" s="18"/>
      <c r="BU151" s="18"/>
      <c r="BV151" s="18"/>
      <c r="BW151" s="18"/>
      <c r="CV151" s="18"/>
      <c r="CW151" s="18"/>
      <c r="CX151" s="18"/>
      <c r="CY151" s="18"/>
      <c r="CZ151" s="18"/>
      <c r="DA151" s="18"/>
      <c r="DB151" s="18"/>
      <c r="DC151" s="18"/>
      <c r="DD151" s="18"/>
      <c r="DE151" s="18"/>
      <c r="DF151" s="18"/>
      <c r="DG151" s="18"/>
      <c r="DH151" s="18"/>
      <c r="DI151" s="18"/>
      <c r="DJ151" s="18"/>
      <c r="DK151" s="18"/>
      <c r="DL151" s="18"/>
      <c r="DM151" s="18"/>
    </row>
    <row r="152" spans="1:117" x14ac:dyDescent="0.3">
      <c r="A152" s="140"/>
      <c r="B152" s="69"/>
      <c r="C152" s="69"/>
      <c r="D152" s="69"/>
      <c r="E152" s="69"/>
      <c r="F152" s="69"/>
      <c r="G152" s="69"/>
      <c r="H152" s="69"/>
      <c r="Z152" s="32"/>
      <c r="AI152" s="7"/>
      <c r="AJ152" s="7"/>
      <c r="AK152" s="7"/>
      <c r="AL152" s="7"/>
      <c r="AM152" s="7"/>
      <c r="AN152" s="7"/>
      <c r="AO152" s="7"/>
      <c r="AP152" s="7"/>
      <c r="AQ152" s="7"/>
      <c r="AR152" s="7"/>
      <c r="AS152" s="7"/>
      <c r="AT152" s="7"/>
      <c r="AU152" s="12"/>
      <c r="AV152" s="7"/>
      <c r="AW152" s="143"/>
      <c r="AX152" s="75"/>
      <c r="AY152" s="91"/>
      <c r="AZ152" s="91"/>
      <c r="BA152" s="91"/>
      <c r="BB152" s="75"/>
      <c r="BC152" s="75"/>
      <c r="BD152" s="75"/>
      <c r="BE152" s="75"/>
      <c r="BF152" s="75"/>
      <c r="BG152" s="75"/>
      <c r="BH152" s="91"/>
      <c r="BI152" s="75"/>
      <c r="BJ152" s="75"/>
      <c r="BK152" s="75"/>
      <c r="BL152" s="75"/>
      <c r="BM152" s="91"/>
      <c r="BN152" s="75"/>
      <c r="BO152" s="91"/>
      <c r="BP152" s="18"/>
      <c r="BQ152" s="18"/>
      <c r="BR152" s="18"/>
      <c r="BS152" s="18"/>
      <c r="BT152" s="18"/>
      <c r="BU152" s="18"/>
      <c r="BV152" s="18"/>
      <c r="BW152" s="18"/>
      <c r="CV152" s="18"/>
      <c r="CW152" s="18"/>
      <c r="CX152" s="18"/>
      <c r="CY152" s="18"/>
      <c r="CZ152" s="18"/>
      <c r="DA152" s="18"/>
      <c r="DB152" s="18"/>
      <c r="DC152" s="18"/>
      <c r="DD152" s="18"/>
      <c r="DE152" s="18"/>
      <c r="DF152" s="18"/>
      <c r="DG152" s="18"/>
      <c r="DH152" s="18"/>
      <c r="DI152" s="18"/>
      <c r="DJ152" s="18"/>
      <c r="DK152" s="18"/>
      <c r="DL152" s="18"/>
      <c r="DM152" s="18"/>
    </row>
    <row r="153" spans="1:117" x14ac:dyDescent="0.3">
      <c r="A153" s="140"/>
      <c r="B153" s="69"/>
      <c r="C153" s="69"/>
      <c r="D153" s="69"/>
      <c r="E153" s="69"/>
      <c r="F153" s="69"/>
      <c r="G153" s="69"/>
      <c r="H153" s="69"/>
      <c r="Z153" s="32"/>
      <c r="AI153" s="7"/>
      <c r="AJ153" s="7"/>
      <c r="AK153" s="7"/>
      <c r="AL153" s="7"/>
      <c r="AM153" s="7"/>
      <c r="AN153" s="7"/>
      <c r="AO153" s="7"/>
      <c r="AP153" s="7"/>
      <c r="AQ153" s="7"/>
      <c r="AR153" s="7"/>
      <c r="AS153" s="7"/>
      <c r="AT153" s="7"/>
      <c r="AU153" s="12"/>
      <c r="AV153" s="7"/>
      <c r="AW153" s="143"/>
      <c r="AX153" s="75"/>
      <c r="AY153" s="91"/>
      <c r="AZ153" s="91"/>
      <c r="BA153" s="91"/>
      <c r="BB153" s="75"/>
      <c r="BC153" s="75"/>
      <c r="BD153" s="75"/>
      <c r="BE153" s="75"/>
      <c r="BF153" s="75"/>
      <c r="BG153" s="75"/>
      <c r="BH153" s="91"/>
      <c r="BI153" s="75"/>
      <c r="BJ153" s="75"/>
      <c r="BK153" s="75"/>
      <c r="BL153" s="75"/>
      <c r="BM153" s="91"/>
      <c r="BN153" s="75"/>
      <c r="BO153" s="91"/>
      <c r="BP153" s="18"/>
      <c r="BQ153" s="18"/>
      <c r="BR153" s="18"/>
      <c r="BS153" s="18"/>
      <c r="BT153" s="18"/>
      <c r="BU153" s="18"/>
      <c r="BV153" s="18"/>
      <c r="BW153" s="18"/>
      <c r="CV153" s="18"/>
      <c r="CW153" s="18"/>
      <c r="CX153" s="18"/>
      <c r="CY153" s="18"/>
      <c r="CZ153" s="18"/>
      <c r="DA153" s="18"/>
      <c r="DB153" s="18"/>
      <c r="DC153" s="18"/>
      <c r="DD153" s="18"/>
      <c r="DE153" s="18"/>
      <c r="DF153" s="18"/>
      <c r="DG153" s="18"/>
      <c r="DH153" s="18"/>
      <c r="DI153" s="18"/>
      <c r="DJ153" s="18"/>
      <c r="DK153" s="18"/>
      <c r="DL153" s="18"/>
      <c r="DM153" s="18"/>
    </row>
    <row r="154" spans="1:117" x14ac:dyDescent="0.3">
      <c r="A154" s="140"/>
      <c r="B154" s="69"/>
      <c r="C154" s="69"/>
      <c r="D154" s="69"/>
      <c r="E154" s="69"/>
      <c r="F154" s="69"/>
      <c r="G154" s="69"/>
      <c r="H154" s="69"/>
      <c r="Z154" s="32"/>
      <c r="AI154" s="7"/>
      <c r="AJ154" s="7"/>
      <c r="AK154" s="7"/>
      <c r="AL154" s="7"/>
      <c r="AM154" s="7"/>
      <c r="AN154" s="7"/>
      <c r="AO154" s="7"/>
      <c r="AP154" s="7"/>
      <c r="AQ154" s="7"/>
      <c r="AR154" s="7"/>
      <c r="AS154" s="7"/>
      <c r="AT154" s="7"/>
      <c r="AU154" s="12"/>
      <c r="AV154" s="7"/>
      <c r="AW154" s="143"/>
      <c r="AX154" s="75"/>
      <c r="AY154" s="91"/>
      <c r="AZ154" s="91"/>
      <c r="BA154" s="91"/>
      <c r="BB154" s="75"/>
      <c r="BC154" s="75"/>
      <c r="BD154" s="75"/>
      <c r="BE154" s="75"/>
      <c r="BF154" s="75"/>
      <c r="BG154" s="75"/>
      <c r="BH154" s="91"/>
      <c r="BI154" s="75"/>
      <c r="BJ154" s="75"/>
      <c r="BK154" s="75"/>
      <c r="BL154" s="75"/>
      <c r="BM154" s="91"/>
      <c r="BN154" s="75"/>
      <c r="BO154" s="91"/>
      <c r="BP154" s="18"/>
      <c r="BQ154" s="18"/>
      <c r="BR154" s="18"/>
      <c r="BS154" s="18"/>
      <c r="BT154" s="18"/>
      <c r="BU154" s="18"/>
      <c r="BV154" s="18"/>
      <c r="BW154" s="18"/>
      <c r="CV154" s="18"/>
      <c r="CW154" s="18"/>
      <c r="CX154" s="18"/>
      <c r="CY154" s="18"/>
      <c r="CZ154" s="18"/>
      <c r="DA154" s="18"/>
      <c r="DB154" s="18"/>
      <c r="DC154" s="18"/>
      <c r="DD154" s="18"/>
      <c r="DE154" s="18"/>
      <c r="DF154" s="18"/>
      <c r="DG154" s="18"/>
      <c r="DH154" s="18"/>
      <c r="DI154" s="18"/>
      <c r="DJ154" s="18"/>
      <c r="DK154" s="18"/>
      <c r="DL154" s="18"/>
      <c r="DM154" s="18"/>
    </row>
    <row r="155" spans="1:117" x14ac:dyDescent="0.3">
      <c r="A155" s="140"/>
      <c r="B155" s="69"/>
      <c r="C155" s="69"/>
      <c r="D155" s="69"/>
      <c r="E155" s="69"/>
      <c r="F155" s="69"/>
      <c r="G155" s="69"/>
      <c r="H155" s="69"/>
      <c r="Z155" s="32"/>
      <c r="AI155" s="7"/>
      <c r="AJ155" s="7"/>
      <c r="AK155" s="7"/>
      <c r="AL155" s="7"/>
      <c r="AM155" s="7"/>
      <c r="AN155" s="7"/>
      <c r="AO155" s="7"/>
      <c r="AP155" s="7"/>
      <c r="AQ155" s="7"/>
      <c r="AR155" s="7"/>
      <c r="AS155" s="7"/>
      <c r="AT155" s="7"/>
      <c r="AU155" s="12"/>
      <c r="AV155" s="7"/>
      <c r="AW155" s="143"/>
      <c r="AX155" s="75"/>
      <c r="AY155" s="91"/>
      <c r="AZ155" s="91"/>
      <c r="BA155" s="91"/>
      <c r="BB155" s="75"/>
      <c r="BC155" s="75"/>
      <c r="BD155" s="75"/>
      <c r="BE155" s="75"/>
      <c r="BF155" s="75"/>
      <c r="BG155" s="75"/>
      <c r="BH155" s="91"/>
      <c r="BI155" s="75"/>
      <c r="BJ155" s="75"/>
      <c r="BK155" s="75"/>
      <c r="BL155" s="75"/>
      <c r="BM155" s="91"/>
      <c r="BN155" s="75"/>
      <c r="BO155" s="91"/>
      <c r="BP155" s="18"/>
      <c r="BQ155" s="18"/>
      <c r="BR155" s="18"/>
      <c r="BS155" s="18"/>
      <c r="BT155" s="18"/>
      <c r="BU155" s="18"/>
      <c r="BV155" s="18"/>
      <c r="BW155" s="18"/>
      <c r="CV155" s="18"/>
      <c r="CW155" s="18"/>
      <c r="CX155" s="18"/>
      <c r="CY155" s="18"/>
      <c r="CZ155" s="18"/>
      <c r="DA155" s="18"/>
      <c r="DB155" s="18"/>
      <c r="DC155" s="18"/>
      <c r="DD155" s="18"/>
      <c r="DE155" s="18"/>
      <c r="DF155" s="18"/>
      <c r="DG155" s="18"/>
      <c r="DH155" s="18"/>
      <c r="DI155" s="18"/>
      <c r="DJ155" s="18"/>
      <c r="DK155" s="18"/>
      <c r="DL155" s="18"/>
      <c r="DM155" s="18"/>
    </row>
    <row r="156" spans="1:117" x14ac:dyDescent="0.3">
      <c r="A156" s="140"/>
      <c r="B156" s="69"/>
      <c r="C156" s="69"/>
      <c r="D156" s="69"/>
      <c r="E156" s="69"/>
      <c r="F156" s="69"/>
      <c r="G156" s="69"/>
      <c r="H156" s="69"/>
      <c r="Z156" s="32"/>
      <c r="AI156" s="7"/>
      <c r="AJ156" s="7"/>
      <c r="AK156" s="7"/>
      <c r="AL156" s="7"/>
      <c r="AM156" s="7"/>
      <c r="AN156" s="7"/>
      <c r="AO156" s="7"/>
      <c r="AP156" s="7"/>
      <c r="AQ156" s="7"/>
      <c r="AR156" s="7"/>
      <c r="AS156" s="7"/>
      <c r="AT156" s="7"/>
      <c r="AU156" s="12"/>
      <c r="AV156" s="7"/>
      <c r="AW156" s="143"/>
      <c r="AX156" s="75"/>
      <c r="AY156" s="91"/>
      <c r="AZ156" s="91"/>
      <c r="BA156" s="91"/>
      <c r="BB156" s="75"/>
      <c r="BC156" s="75"/>
      <c r="BD156" s="75"/>
      <c r="BE156" s="75"/>
      <c r="BF156" s="75"/>
      <c r="BG156" s="75"/>
      <c r="BH156" s="91"/>
      <c r="BI156" s="75"/>
      <c r="BJ156" s="75"/>
      <c r="BK156" s="75"/>
      <c r="BL156" s="75"/>
      <c r="BM156" s="91"/>
      <c r="BN156" s="75"/>
      <c r="BO156" s="91"/>
      <c r="BP156" s="18"/>
      <c r="BQ156" s="18"/>
      <c r="BR156" s="18"/>
      <c r="BS156" s="18"/>
      <c r="BT156" s="18"/>
      <c r="BU156" s="18"/>
      <c r="BV156" s="18"/>
      <c r="BW156" s="18"/>
      <c r="CV156" s="18"/>
      <c r="CW156" s="18"/>
      <c r="CX156" s="18"/>
      <c r="CY156" s="18"/>
      <c r="CZ156" s="18"/>
      <c r="DA156" s="18"/>
      <c r="DB156" s="18"/>
      <c r="DC156" s="18"/>
      <c r="DD156" s="18"/>
      <c r="DE156" s="18"/>
      <c r="DF156" s="18"/>
      <c r="DG156" s="18"/>
      <c r="DH156" s="18"/>
      <c r="DI156" s="18"/>
      <c r="DJ156" s="18"/>
      <c r="DK156" s="18"/>
      <c r="DL156" s="18"/>
      <c r="DM156" s="18"/>
    </row>
    <row r="157" spans="1:117" x14ac:dyDescent="0.3">
      <c r="A157" s="140"/>
      <c r="B157" s="69"/>
      <c r="C157" s="69"/>
      <c r="D157" s="69"/>
      <c r="E157" s="69"/>
      <c r="F157" s="69"/>
      <c r="G157" s="69"/>
      <c r="H157" s="69"/>
      <c r="Z157" s="32"/>
      <c r="AI157" s="7"/>
      <c r="AJ157" s="7"/>
      <c r="AK157" s="7"/>
      <c r="AL157" s="7"/>
      <c r="AM157" s="7"/>
      <c r="AN157" s="7"/>
      <c r="AO157" s="7"/>
      <c r="AP157" s="7"/>
      <c r="AQ157" s="7"/>
      <c r="AR157" s="7"/>
      <c r="AS157" s="7"/>
      <c r="AT157" s="7"/>
      <c r="AU157" s="12"/>
      <c r="AV157" s="7"/>
      <c r="AW157" s="143"/>
      <c r="AX157" s="75"/>
      <c r="AY157" s="91"/>
      <c r="AZ157" s="91"/>
      <c r="BA157" s="91"/>
      <c r="BB157" s="75"/>
      <c r="BC157" s="75"/>
      <c r="BD157" s="75"/>
      <c r="BE157" s="75"/>
      <c r="BF157" s="75"/>
      <c r="BG157" s="75"/>
      <c r="BH157" s="91"/>
      <c r="BI157" s="75"/>
      <c r="BJ157" s="75"/>
      <c r="BK157" s="75"/>
      <c r="BL157" s="75"/>
      <c r="BM157" s="91"/>
      <c r="BN157" s="75"/>
      <c r="BO157" s="91"/>
      <c r="BP157" s="18"/>
      <c r="BQ157" s="18"/>
      <c r="BR157" s="18"/>
      <c r="BS157" s="18"/>
      <c r="BT157" s="18"/>
      <c r="BU157" s="18"/>
      <c r="BV157" s="18"/>
      <c r="BW157" s="18"/>
      <c r="CV157" s="18"/>
      <c r="CW157" s="18"/>
      <c r="CX157" s="18"/>
      <c r="CY157" s="18"/>
      <c r="CZ157" s="18"/>
      <c r="DA157" s="18"/>
      <c r="DB157" s="18"/>
      <c r="DC157" s="18"/>
      <c r="DD157" s="18"/>
      <c r="DE157" s="18"/>
      <c r="DF157" s="18"/>
      <c r="DG157" s="18"/>
      <c r="DH157" s="18"/>
      <c r="DI157" s="18"/>
      <c r="DJ157" s="18"/>
      <c r="DK157" s="18"/>
      <c r="DL157" s="18"/>
      <c r="DM157" s="18"/>
    </row>
    <row r="158" spans="1:117" x14ac:dyDescent="0.3">
      <c r="A158" s="140"/>
      <c r="B158" s="69"/>
      <c r="C158" s="69"/>
      <c r="D158" s="69"/>
      <c r="E158" s="69"/>
      <c r="F158" s="69"/>
      <c r="G158" s="69"/>
      <c r="H158" s="69"/>
      <c r="Z158" s="32"/>
      <c r="AI158" s="7"/>
      <c r="AJ158" s="7"/>
      <c r="AK158" s="7"/>
      <c r="AL158" s="7"/>
      <c r="AM158" s="7"/>
      <c r="AN158" s="7"/>
      <c r="AO158" s="7"/>
      <c r="AP158" s="7"/>
      <c r="AQ158" s="7"/>
      <c r="AR158" s="7"/>
      <c r="AS158" s="7"/>
      <c r="AT158" s="7"/>
      <c r="AU158" s="12"/>
      <c r="AV158" s="7"/>
      <c r="AW158" s="143"/>
      <c r="AX158" s="75"/>
      <c r="AY158" s="91"/>
      <c r="AZ158" s="91"/>
      <c r="BA158" s="91"/>
      <c r="BB158" s="75"/>
      <c r="BC158" s="75"/>
      <c r="BD158" s="75"/>
      <c r="BE158" s="75"/>
      <c r="BF158" s="75"/>
      <c r="BG158" s="75"/>
      <c r="BH158" s="91"/>
      <c r="BI158" s="75"/>
      <c r="BJ158" s="75"/>
      <c r="BK158" s="75"/>
      <c r="BL158" s="75"/>
      <c r="BM158" s="91"/>
      <c r="BN158" s="75"/>
      <c r="BO158" s="91"/>
      <c r="BP158" s="18"/>
      <c r="BQ158" s="18"/>
      <c r="BR158" s="18"/>
      <c r="BS158" s="18"/>
      <c r="BT158" s="18"/>
      <c r="BU158" s="18"/>
      <c r="BV158" s="18"/>
      <c r="BW158" s="18"/>
      <c r="CV158" s="18"/>
      <c r="CW158" s="18"/>
      <c r="CX158" s="18"/>
      <c r="CY158" s="18"/>
      <c r="CZ158" s="18"/>
      <c r="DA158" s="18"/>
      <c r="DB158" s="18"/>
      <c r="DC158" s="18"/>
      <c r="DD158" s="18"/>
      <c r="DE158" s="18"/>
      <c r="DF158" s="18"/>
      <c r="DG158" s="18"/>
      <c r="DH158" s="18"/>
      <c r="DI158" s="18"/>
      <c r="DJ158" s="18"/>
      <c r="DK158" s="18"/>
      <c r="DL158" s="18"/>
      <c r="DM158" s="18"/>
    </row>
    <row r="159" spans="1:117" x14ac:dyDescent="0.3">
      <c r="A159" s="140"/>
      <c r="B159" s="69"/>
      <c r="C159" s="69"/>
      <c r="D159" s="69"/>
      <c r="E159" s="69"/>
      <c r="F159" s="69"/>
      <c r="G159" s="69"/>
      <c r="H159" s="69"/>
      <c r="Z159" s="32"/>
      <c r="AI159" s="7"/>
      <c r="AJ159" s="7"/>
      <c r="AK159" s="7"/>
      <c r="AL159" s="7"/>
      <c r="AM159" s="7"/>
      <c r="AN159" s="7"/>
      <c r="AO159" s="7"/>
      <c r="AP159" s="7"/>
      <c r="AQ159" s="7"/>
      <c r="AR159" s="7"/>
      <c r="AS159" s="7"/>
      <c r="AT159" s="7"/>
      <c r="AU159" s="12"/>
      <c r="AV159" s="7"/>
      <c r="AW159" s="143"/>
      <c r="AX159" s="75"/>
      <c r="AY159" s="91"/>
      <c r="AZ159" s="91"/>
      <c r="BA159" s="91"/>
      <c r="BB159" s="75"/>
      <c r="BC159" s="75"/>
      <c r="BD159" s="75"/>
      <c r="BE159" s="75"/>
      <c r="BF159" s="75"/>
      <c r="BG159" s="75"/>
      <c r="BH159" s="91"/>
      <c r="BI159" s="75"/>
      <c r="BJ159" s="75"/>
      <c r="BK159" s="75"/>
      <c r="BL159" s="75"/>
      <c r="BM159" s="91"/>
      <c r="BN159" s="75"/>
      <c r="BO159" s="91"/>
      <c r="BP159" s="18"/>
      <c r="BQ159" s="18"/>
      <c r="BR159" s="18"/>
      <c r="BS159" s="18"/>
      <c r="BT159" s="18"/>
      <c r="BU159" s="18"/>
      <c r="BV159" s="18"/>
      <c r="BW159" s="18"/>
      <c r="CV159" s="18"/>
      <c r="CW159" s="18"/>
      <c r="CX159" s="18"/>
      <c r="CY159" s="18"/>
      <c r="CZ159" s="18"/>
      <c r="DA159" s="18"/>
      <c r="DB159" s="18"/>
      <c r="DC159" s="18"/>
      <c r="DD159" s="18"/>
      <c r="DE159" s="18"/>
      <c r="DF159" s="18"/>
      <c r="DG159" s="18"/>
      <c r="DH159" s="18"/>
      <c r="DI159" s="18"/>
      <c r="DJ159" s="18"/>
      <c r="DK159" s="18"/>
      <c r="DL159" s="18"/>
      <c r="DM159" s="18"/>
    </row>
    <row r="160" spans="1:117" x14ac:dyDescent="0.3">
      <c r="A160" s="140"/>
      <c r="B160" s="69"/>
      <c r="C160" s="69"/>
      <c r="D160" s="69"/>
      <c r="E160" s="69"/>
      <c r="F160" s="69"/>
      <c r="G160" s="69"/>
      <c r="H160" s="69"/>
      <c r="Z160" s="32"/>
      <c r="AI160" s="7"/>
      <c r="AJ160" s="7"/>
      <c r="AK160" s="7"/>
      <c r="AL160" s="7"/>
      <c r="AM160" s="7"/>
      <c r="AN160" s="7"/>
      <c r="AO160" s="7"/>
      <c r="AP160" s="7"/>
      <c r="AQ160" s="7"/>
      <c r="AR160" s="7"/>
      <c r="AS160" s="7"/>
      <c r="AT160" s="7"/>
      <c r="AU160" s="12"/>
      <c r="AV160" s="7"/>
      <c r="AW160" s="143"/>
      <c r="AX160" s="75"/>
      <c r="AY160" s="91"/>
      <c r="AZ160" s="91"/>
      <c r="BA160" s="91"/>
      <c r="BB160" s="75"/>
      <c r="BC160" s="75"/>
      <c r="BD160" s="75"/>
      <c r="BE160" s="75"/>
      <c r="BF160" s="75"/>
      <c r="BG160" s="75"/>
      <c r="BH160" s="91"/>
      <c r="BI160" s="75"/>
      <c r="BJ160" s="75"/>
      <c r="BK160" s="75"/>
      <c r="BL160" s="75"/>
      <c r="BM160" s="91"/>
      <c r="BN160" s="75"/>
      <c r="BO160" s="91"/>
      <c r="BP160" s="18"/>
      <c r="BQ160" s="18"/>
      <c r="BR160" s="18"/>
      <c r="BS160" s="18"/>
      <c r="BT160" s="18"/>
      <c r="BU160" s="18"/>
      <c r="BV160" s="18"/>
      <c r="BW160" s="18"/>
      <c r="CV160" s="18"/>
      <c r="CW160" s="18"/>
      <c r="CX160" s="18"/>
      <c r="CY160" s="18"/>
      <c r="CZ160" s="18"/>
      <c r="DA160" s="18"/>
      <c r="DB160" s="18"/>
      <c r="DC160" s="18"/>
      <c r="DD160" s="18"/>
      <c r="DE160" s="18"/>
      <c r="DF160" s="18"/>
      <c r="DG160" s="18"/>
      <c r="DH160" s="18"/>
      <c r="DI160" s="18"/>
      <c r="DJ160" s="18"/>
      <c r="DK160" s="18"/>
      <c r="DL160" s="18"/>
      <c r="DM160" s="18"/>
    </row>
    <row r="161" spans="1:117" x14ac:dyDescent="0.3">
      <c r="A161" s="140"/>
      <c r="B161" s="69"/>
      <c r="C161" s="69"/>
      <c r="D161" s="69"/>
      <c r="E161" s="69"/>
      <c r="F161" s="69"/>
      <c r="G161" s="69"/>
      <c r="H161" s="69"/>
      <c r="Z161" s="32"/>
      <c r="AI161" s="7"/>
      <c r="AJ161" s="7"/>
      <c r="AK161" s="7"/>
      <c r="AL161" s="7"/>
      <c r="AM161" s="7"/>
      <c r="AN161" s="7"/>
      <c r="AO161" s="7"/>
      <c r="AP161" s="7"/>
      <c r="AQ161" s="7"/>
      <c r="AR161" s="7"/>
      <c r="AS161" s="7"/>
      <c r="AT161" s="7"/>
      <c r="AU161" s="12"/>
      <c r="AV161" s="7"/>
      <c r="AW161" s="143"/>
      <c r="AX161" s="75"/>
      <c r="AY161" s="91"/>
      <c r="AZ161" s="91"/>
      <c r="BA161" s="91"/>
      <c r="BB161" s="75"/>
      <c r="BC161" s="75"/>
      <c r="BD161" s="75"/>
      <c r="BE161" s="75"/>
      <c r="BF161" s="75"/>
      <c r="BG161" s="75"/>
      <c r="BH161" s="91"/>
      <c r="BI161" s="75"/>
      <c r="BJ161" s="75"/>
      <c r="BK161" s="75"/>
      <c r="BL161" s="75"/>
      <c r="BM161" s="91"/>
      <c r="BN161" s="75"/>
      <c r="BO161" s="91"/>
      <c r="BP161" s="18"/>
      <c r="BQ161" s="18"/>
      <c r="BR161" s="18"/>
      <c r="BS161" s="18"/>
      <c r="BT161" s="18"/>
      <c r="BU161" s="18"/>
      <c r="BV161" s="18"/>
      <c r="BW161" s="18"/>
      <c r="CV161" s="18"/>
      <c r="CW161" s="18"/>
      <c r="CX161" s="18"/>
      <c r="CY161" s="18"/>
      <c r="CZ161" s="18"/>
      <c r="DA161" s="18"/>
      <c r="DB161" s="18"/>
      <c r="DC161" s="18"/>
      <c r="DD161" s="18"/>
      <c r="DE161" s="18"/>
      <c r="DF161" s="18"/>
      <c r="DG161" s="18"/>
      <c r="DH161" s="18"/>
      <c r="DI161" s="18"/>
      <c r="DJ161" s="18"/>
      <c r="DK161" s="18"/>
      <c r="DL161" s="18"/>
      <c r="DM161" s="18"/>
    </row>
    <row r="162" spans="1:117" x14ac:dyDescent="0.3">
      <c r="A162" s="140"/>
      <c r="B162" s="69"/>
      <c r="C162" s="69"/>
      <c r="D162" s="69"/>
      <c r="E162" s="69"/>
      <c r="F162" s="69"/>
      <c r="G162" s="69"/>
      <c r="H162" s="69"/>
      <c r="Z162" s="32"/>
      <c r="AI162" s="7"/>
      <c r="AJ162" s="7"/>
      <c r="AK162" s="7"/>
      <c r="AL162" s="7"/>
      <c r="AM162" s="7"/>
      <c r="AN162" s="7"/>
      <c r="AO162" s="7"/>
      <c r="AP162" s="7"/>
      <c r="AQ162" s="7"/>
      <c r="AR162" s="7"/>
      <c r="AS162" s="7"/>
      <c r="AT162" s="7"/>
      <c r="AU162" s="12"/>
      <c r="AV162" s="7"/>
      <c r="AW162" s="143"/>
      <c r="AX162" s="75"/>
      <c r="AY162" s="91"/>
      <c r="AZ162" s="91"/>
      <c r="BA162" s="91"/>
      <c r="BB162" s="75"/>
      <c r="BC162" s="75"/>
      <c r="BD162" s="75"/>
      <c r="BE162" s="75"/>
      <c r="BF162" s="75"/>
      <c r="BG162" s="75"/>
      <c r="BH162" s="91"/>
      <c r="BI162" s="75"/>
      <c r="BJ162" s="75"/>
      <c r="BK162" s="75"/>
      <c r="BL162" s="75"/>
      <c r="BM162" s="91"/>
      <c r="BN162" s="75"/>
      <c r="BO162" s="91"/>
      <c r="BP162" s="18"/>
      <c r="BQ162" s="18"/>
      <c r="BR162" s="18"/>
      <c r="BS162" s="18"/>
      <c r="BT162" s="18"/>
      <c r="BU162" s="18"/>
      <c r="BV162" s="18"/>
      <c r="BW162" s="18"/>
      <c r="CV162" s="18"/>
      <c r="CW162" s="18"/>
      <c r="CX162" s="18"/>
      <c r="CY162" s="18"/>
      <c r="CZ162" s="18"/>
      <c r="DA162" s="18"/>
      <c r="DB162" s="18"/>
      <c r="DC162" s="18"/>
      <c r="DD162" s="18"/>
      <c r="DE162" s="18"/>
      <c r="DF162" s="18"/>
      <c r="DG162" s="18"/>
      <c r="DH162" s="18"/>
      <c r="DI162" s="18"/>
      <c r="DJ162" s="18"/>
      <c r="DK162" s="18"/>
      <c r="DL162" s="18"/>
      <c r="DM162" s="18"/>
    </row>
    <row r="163" spans="1:117" x14ac:dyDescent="0.3">
      <c r="A163" s="140"/>
      <c r="B163" s="69"/>
      <c r="C163" s="69"/>
      <c r="D163" s="69"/>
      <c r="E163" s="69"/>
      <c r="F163" s="69"/>
      <c r="G163" s="69"/>
      <c r="H163" s="69"/>
      <c r="Z163" s="32"/>
      <c r="AI163" s="7"/>
      <c r="AJ163" s="7"/>
      <c r="AK163" s="7"/>
      <c r="AL163" s="7"/>
      <c r="AM163" s="7"/>
      <c r="AN163" s="7"/>
      <c r="AO163" s="7"/>
      <c r="AP163" s="7"/>
      <c r="AQ163" s="7"/>
      <c r="AR163" s="7"/>
      <c r="AS163" s="7"/>
      <c r="AT163" s="7"/>
      <c r="AU163" s="12"/>
      <c r="AV163" s="7"/>
      <c r="AW163" s="143"/>
      <c r="AX163" s="75"/>
      <c r="AY163" s="91"/>
      <c r="AZ163" s="91"/>
      <c r="BA163" s="91"/>
      <c r="BB163" s="75"/>
      <c r="BC163" s="75"/>
      <c r="BD163" s="75"/>
      <c r="BE163" s="75"/>
      <c r="BF163" s="75"/>
      <c r="BG163" s="75"/>
      <c r="BH163" s="91"/>
      <c r="BI163" s="75"/>
      <c r="BJ163" s="75"/>
      <c r="BK163" s="75"/>
      <c r="BL163" s="75"/>
      <c r="BM163" s="91"/>
      <c r="BN163" s="75"/>
      <c r="BO163" s="91"/>
      <c r="BP163" s="18"/>
      <c r="BQ163" s="18"/>
      <c r="BR163" s="18"/>
      <c r="BS163" s="18"/>
      <c r="BT163" s="18"/>
      <c r="BU163" s="18"/>
      <c r="BV163" s="18"/>
      <c r="BW163" s="18"/>
      <c r="CV163" s="18"/>
      <c r="CW163" s="18"/>
      <c r="CX163" s="18"/>
      <c r="CY163" s="18"/>
      <c r="CZ163" s="18"/>
      <c r="DA163" s="18"/>
      <c r="DB163" s="18"/>
      <c r="DC163" s="18"/>
      <c r="DD163" s="18"/>
      <c r="DE163" s="18"/>
      <c r="DF163" s="18"/>
      <c r="DG163" s="18"/>
      <c r="DH163" s="18"/>
      <c r="DI163" s="18"/>
      <c r="DJ163" s="18"/>
      <c r="DK163" s="18"/>
      <c r="DL163" s="18"/>
      <c r="DM163" s="18"/>
    </row>
    <row r="164" spans="1:117" x14ac:dyDescent="0.3">
      <c r="A164" s="140"/>
      <c r="B164" s="69"/>
      <c r="C164" s="69"/>
      <c r="D164" s="69"/>
      <c r="E164" s="69"/>
      <c r="F164" s="69"/>
      <c r="G164" s="69"/>
      <c r="H164" s="69"/>
      <c r="Z164" s="32"/>
      <c r="AI164" s="7"/>
      <c r="AJ164" s="7"/>
      <c r="AK164" s="7"/>
      <c r="AL164" s="7"/>
      <c r="AM164" s="7"/>
      <c r="AN164" s="7"/>
      <c r="AO164" s="7"/>
      <c r="AP164" s="7"/>
      <c r="AQ164" s="7"/>
      <c r="AR164" s="7"/>
      <c r="AS164" s="7"/>
      <c r="AT164" s="7"/>
      <c r="AU164" s="12"/>
      <c r="AV164" s="7"/>
      <c r="AW164" s="143"/>
      <c r="AX164" s="75"/>
      <c r="AY164" s="91"/>
      <c r="AZ164" s="91"/>
      <c r="BA164" s="91"/>
      <c r="BB164" s="75"/>
      <c r="BC164" s="75"/>
      <c r="BD164" s="75"/>
      <c r="BE164" s="75"/>
      <c r="BF164" s="75"/>
      <c r="BG164" s="75"/>
      <c r="BH164" s="91"/>
      <c r="BI164" s="75"/>
      <c r="BJ164" s="75"/>
      <c r="BK164" s="75"/>
      <c r="BL164" s="75"/>
      <c r="BM164" s="91"/>
      <c r="BN164" s="75"/>
      <c r="BO164" s="91"/>
      <c r="BP164" s="18"/>
      <c r="BQ164" s="18"/>
      <c r="BR164" s="18"/>
      <c r="BS164" s="18"/>
      <c r="BT164" s="18"/>
      <c r="BU164" s="18"/>
      <c r="BV164" s="18"/>
      <c r="BW164" s="18"/>
      <c r="CV164" s="18"/>
      <c r="CW164" s="18"/>
      <c r="CX164" s="18"/>
      <c r="CY164" s="18"/>
      <c r="CZ164" s="18"/>
      <c r="DA164" s="18"/>
      <c r="DB164" s="18"/>
      <c r="DC164" s="18"/>
      <c r="DD164" s="18"/>
      <c r="DE164" s="18"/>
      <c r="DF164" s="18"/>
      <c r="DG164" s="18"/>
      <c r="DH164" s="18"/>
      <c r="DI164" s="18"/>
      <c r="DJ164" s="18"/>
      <c r="DK164" s="18"/>
      <c r="DL164" s="18"/>
      <c r="DM164" s="18"/>
    </row>
    <row r="165" spans="1:117" x14ac:dyDescent="0.3">
      <c r="A165" s="140"/>
      <c r="B165" s="69"/>
      <c r="C165" s="69"/>
      <c r="D165" s="69"/>
      <c r="E165" s="69"/>
      <c r="F165" s="69"/>
      <c r="G165" s="69"/>
      <c r="H165" s="69"/>
      <c r="Z165" s="32"/>
      <c r="AI165" s="7"/>
      <c r="AJ165" s="7"/>
      <c r="AK165" s="7"/>
      <c r="AL165" s="7"/>
      <c r="AM165" s="7"/>
      <c r="AN165" s="7"/>
      <c r="AO165" s="7"/>
      <c r="AP165" s="7"/>
      <c r="AQ165" s="7"/>
      <c r="AR165" s="7"/>
      <c r="AS165" s="7"/>
      <c r="AT165" s="7"/>
      <c r="AU165" s="12"/>
      <c r="AV165" s="7"/>
      <c r="AW165" s="143"/>
      <c r="AX165" s="75"/>
      <c r="AY165" s="91"/>
      <c r="AZ165" s="91"/>
      <c r="BA165" s="91"/>
      <c r="BB165" s="75"/>
      <c r="BC165" s="75"/>
      <c r="BD165" s="75"/>
      <c r="BE165" s="75"/>
      <c r="BF165" s="75"/>
      <c r="BG165" s="75"/>
      <c r="BH165" s="91"/>
      <c r="BI165" s="75"/>
      <c r="BJ165" s="75"/>
      <c r="BK165" s="75"/>
      <c r="BL165" s="75"/>
      <c r="BM165" s="91"/>
      <c r="BN165" s="75"/>
      <c r="BO165" s="91"/>
      <c r="BP165" s="18"/>
      <c r="BQ165" s="18"/>
      <c r="BR165" s="18"/>
      <c r="BS165" s="18"/>
      <c r="BT165" s="18"/>
      <c r="BU165" s="18"/>
      <c r="BV165" s="18"/>
      <c r="BW165" s="18"/>
      <c r="CV165" s="18"/>
      <c r="CW165" s="18"/>
      <c r="CX165" s="18"/>
      <c r="CY165" s="18"/>
      <c r="CZ165" s="18"/>
      <c r="DA165" s="18"/>
      <c r="DB165" s="18"/>
      <c r="DC165" s="18"/>
      <c r="DD165" s="18"/>
      <c r="DE165" s="18"/>
      <c r="DF165" s="18"/>
      <c r="DG165" s="18"/>
      <c r="DH165" s="18"/>
      <c r="DI165" s="18"/>
      <c r="DJ165" s="18"/>
      <c r="DK165" s="18"/>
      <c r="DL165" s="18"/>
      <c r="DM165" s="18"/>
    </row>
    <row r="166" spans="1:117" x14ac:dyDescent="0.3">
      <c r="A166" s="140"/>
      <c r="B166" s="69"/>
      <c r="C166" s="69"/>
      <c r="D166" s="69"/>
      <c r="E166" s="69"/>
      <c r="F166" s="69"/>
      <c r="G166" s="69"/>
      <c r="H166" s="69"/>
      <c r="Z166" s="32"/>
      <c r="AI166" s="7"/>
      <c r="AJ166" s="7"/>
      <c r="AK166" s="7"/>
      <c r="AL166" s="7"/>
      <c r="AM166" s="7"/>
      <c r="AN166" s="7"/>
      <c r="AO166" s="7"/>
      <c r="AP166" s="7"/>
      <c r="AQ166" s="7"/>
      <c r="AR166" s="7"/>
      <c r="AS166" s="7"/>
      <c r="AT166" s="7"/>
      <c r="AU166" s="12"/>
      <c r="AV166" s="7"/>
      <c r="AW166" s="143"/>
      <c r="AX166" s="75"/>
      <c r="AY166" s="91"/>
      <c r="AZ166" s="91"/>
      <c r="BA166" s="91"/>
      <c r="BB166" s="75"/>
      <c r="BC166" s="75"/>
      <c r="BD166" s="75"/>
      <c r="BE166" s="75"/>
      <c r="BF166" s="75"/>
      <c r="BG166" s="75"/>
      <c r="BH166" s="91"/>
      <c r="BI166" s="75"/>
      <c r="BJ166" s="75"/>
      <c r="BK166" s="75"/>
      <c r="BL166" s="75"/>
      <c r="BM166" s="91"/>
      <c r="BN166" s="75"/>
      <c r="BO166" s="91"/>
      <c r="BP166" s="18"/>
      <c r="BQ166" s="18"/>
      <c r="BR166" s="18"/>
      <c r="BS166" s="18"/>
      <c r="BT166" s="18"/>
      <c r="BU166" s="18"/>
      <c r="BV166" s="18"/>
      <c r="BW166" s="18"/>
      <c r="CV166" s="18"/>
      <c r="CW166" s="18"/>
      <c r="CX166" s="18"/>
      <c r="CY166" s="18"/>
      <c r="CZ166" s="18"/>
      <c r="DA166" s="18"/>
      <c r="DB166" s="18"/>
      <c r="DC166" s="18"/>
      <c r="DD166" s="18"/>
      <c r="DE166" s="18"/>
      <c r="DF166" s="18"/>
      <c r="DG166" s="18"/>
      <c r="DH166" s="18"/>
      <c r="DI166" s="18"/>
      <c r="DJ166" s="18"/>
      <c r="DK166" s="18"/>
      <c r="DL166" s="18"/>
      <c r="DM166" s="18"/>
    </row>
    <row r="167" spans="1:117" x14ac:dyDescent="0.3">
      <c r="A167" s="140"/>
      <c r="B167" s="69"/>
      <c r="C167" s="69"/>
      <c r="D167" s="69"/>
      <c r="E167" s="69"/>
      <c r="F167" s="69"/>
      <c r="G167" s="69"/>
      <c r="H167" s="69"/>
      <c r="Z167" s="32"/>
      <c r="AI167" s="7"/>
      <c r="AJ167" s="7"/>
      <c r="AK167" s="7"/>
      <c r="AL167" s="7"/>
      <c r="AM167" s="7"/>
      <c r="AN167" s="7"/>
      <c r="AO167" s="7"/>
      <c r="AP167" s="7"/>
      <c r="AQ167" s="7"/>
      <c r="AR167" s="7"/>
      <c r="AS167" s="7"/>
      <c r="AT167" s="7"/>
      <c r="AU167" s="12"/>
      <c r="AV167" s="7"/>
      <c r="AW167" s="143"/>
      <c r="AX167" s="75"/>
      <c r="AY167" s="91"/>
      <c r="AZ167" s="91"/>
      <c r="BA167" s="91"/>
      <c r="BB167" s="75"/>
      <c r="BC167" s="75"/>
      <c r="BD167" s="75"/>
      <c r="BE167" s="75"/>
      <c r="BF167" s="75"/>
      <c r="BG167" s="75"/>
      <c r="BH167" s="91"/>
      <c r="BI167" s="75"/>
      <c r="BJ167" s="75"/>
      <c r="BK167" s="75"/>
      <c r="BL167" s="75"/>
      <c r="BM167" s="91"/>
      <c r="BN167" s="75"/>
      <c r="BO167" s="91"/>
      <c r="BP167" s="18"/>
      <c r="BQ167" s="18"/>
      <c r="BR167" s="18"/>
      <c r="BS167" s="18"/>
      <c r="BT167" s="18"/>
      <c r="BU167" s="18"/>
      <c r="BV167" s="18"/>
      <c r="BW167" s="18"/>
      <c r="CV167" s="18"/>
      <c r="CW167" s="18"/>
      <c r="CX167" s="18"/>
      <c r="CY167" s="18"/>
      <c r="CZ167" s="18"/>
      <c r="DA167" s="18"/>
      <c r="DB167" s="18"/>
      <c r="DC167" s="18"/>
      <c r="DD167" s="18"/>
      <c r="DE167" s="18"/>
      <c r="DF167" s="18"/>
      <c r="DG167" s="18"/>
      <c r="DH167" s="18"/>
      <c r="DI167" s="18"/>
      <c r="DJ167" s="18"/>
      <c r="DK167" s="18"/>
      <c r="DL167" s="18"/>
      <c r="DM167" s="18"/>
    </row>
    <row r="168" spans="1:117" x14ac:dyDescent="0.3">
      <c r="A168" s="140"/>
      <c r="B168" s="69"/>
      <c r="C168" s="69"/>
      <c r="D168" s="69"/>
      <c r="E168" s="69"/>
      <c r="F168" s="69"/>
      <c r="G168" s="69"/>
      <c r="H168" s="69"/>
      <c r="Z168" s="32"/>
      <c r="AI168" s="7"/>
      <c r="AJ168" s="7"/>
      <c r="AK168" s="7"/>
      <c r="AL168" s="7"/>
      <c r="AM168" s="7"/>
      <c r="AN168" s="7"/>
      <c r="AO168" s="7"/>
      <c r="AP168" s="7"/>
      <c r="AQ168" s="7"/>
      <c r="AR168" s="7"/>
      <c r="AS168" s="7"/>
      <c r="AT168" s="7"/>
      <c r="AU168" s="12"/>
      <c r="AV168" s="7"/>
      <c r="AW168" s="143"/>
      <c r="AX168" s="75"/>
      <c r="AY168" s="91"/>
      <c r="AZ168" s="91"/>
      <c r="BA168" s="91"/>
      <c r="BB168" s="75"/>
      <c r="BC168" s="75"/>
      <c r="BD168" s="75"/>
      <c r="BE168" s="75"/>
      <c r="BF168" s="75"/>
      <c r="BG168" s="75"/>
      <c r="BH168" s="91"/>
      <c r="BI168" s="75"/>
      <c r="BJ168" s="75"/>
      <c r="BK168" s="75"/>
      <c r="BL168" s="75"/>
      <c r="BM168" s="91"/>
      <c r="BN168" s="75"/>
      <c r="BO168" s="91"/>
      <c r="BP168" s="18"/>
      <c r="BQ168" s="18"/>
      <c r="BR168" s="18"/>
      <c r="BS168" s="18"/>
      <c r="BT168" s="18"/>
      <c r="BU168" s="18"/>
      <c r="BV168" s="18"/>
      <c r="BW168" s="18"/>
      <c r="CV168" s="18"/>
      <c r="CW168" s="18"/>
      <c r="CX168" s="18"/>
      <c r="CY168" s="18"/>
      <c r="CZ168" s="18"/>
      <c r="DA168" s="18"/>
      <c r="DB168" s="18"/>
      <c r="DC168" s="18"/>
      <c r="DD168" s="18"/>
      <c r="DE168" s="18"/>
      <c r="DF168" s="18"/>
      <c r="DG168" s="18"/>
      <c r="DH168" s="18"/>
      <c r="DI168" s="18"/>
      <c r="DJ168" s="18"/>
      <c r="DK168" s="18"/>
      <c r="DL168" s="18"/>
      <c r="DM168" s="18"/>
    </row>
    <row r="169" spans="1:117" x14ac:dyDescent="0.3">
      <c r="A169" s="140"/>
      <c r="B169" s="69"/>
      <c r="C169" s="69"/>
      <c r="D169" s="69"/>
      <c r="E169" s="69"/>
      <c r="F169" s="69"/>
      <c r="G169" s="69"/>
      <c r="H169" s="69"/>
      <c r="Z169" s="32"/>
      <c r="AI169" s="7"/>
      <c r="AJ169" s="7"/>
      <c r="AK169" s="7"/>
      <c r="AL169" s="7"/>
      <c r="AM169" s="7"/>
      <c r="AN169" s="7"/>
      <c r="AO169" s="7"/>
      <c r="AP169" s="7"/>
      <c r="AQ169" s="7"/>
      <c r="AR169" s="7"/>
      <c r="AS169" s="7"/>
      <c r="AT169" s="7"/>
      <c r="AU169" s="12"/>
      <c r="AV169" s="7"/>
      <c r="AW169" s="143"/>
      <c r="AX169" s="75"/>
      <c r="AY169" s="91"/>
      <c r="AZ169" s="91"/>
      <c r="BA169" s="91"/>
      <c r="BB169" s="75"/>
      <c r="BC169" s="75"/>
      <c r="BD169" s="75"/>
      <c r="BE169" s="75"/>
      <c r="BF169" s="75"/>
      <c r="BG169" s="75"/>
      <c r="BH169" s="91"/>
      <c r="BI169" s="75"/>
      <c r="BJ169" s="75"/>
      <c r="BK169" s="75"/>
      <c r="BL169" s="75"/>
      <c r="BM169" s="91"/>
      <c r="BN169" s="75"/>
      <c r="BO169" s="91"/>
      <c r="BP169" s="18"/>
      <c r="BQ169" s="18"/>
      <c r="BR169" s="18"/>
      <c r="BS169" s="18"/>
      <c r="BT169" s="18"/>
      <c r="BU169" s="18"/>
      <c r="BV169" s="18"/>
      <c r="BW169" s="18"/>
      <c r="CV169" s="18"/>
      <c r="CW169" s="18"/>
      <c r="CX169" s="18"/>
      <c r="CY169" s="18"/>
      <c r="CZ169" s="18"/>
      <c r="DA169" s="18"/>
      <c r="DB169" s="18"/>
      <c r="DC169" s="18"/>
      <c r="DD169" s="18"/>
      <c r="DE169" s="18"/>
      <c r="DF169" s="18"/>
      <c r="DG169" s="18"/>
      <c r="DH169" s="18"/>
      <c r="DI169" s="18"/>
      <c r="DJ169" s="18"/>
      <c r="DK169" s="18"/>
      <c r="DL169" s="18"/>
      <c r="DM169" s="18"/>
    </row>
    <row r="170" spans="1:117" x14ac:dyDescent="0.3">
      <c r="A170" s="140"/>
      <c r="B170" s="69"/>
      <c r="C170" s="69"/>
      <c r="D170" s="69"/>
      <c r="E170" s="69"/>
      <c r="F170" s="69"/>
      <c r="G170" s="69"/>
      <c r="H170" s="69"/>
      <c r="Z170" s="32"/>
      <c r="AI170" s="7"/>
      <c r="AJ170" s="7"/>
      <c r="AK170" s="7"/>
      <c r="AL170" s="7"/>
      <c r="AM170" s="7"/>
      <c r="AN170" s="7"/>
      <c r="AO170" s="7"/>
      <c r="AP170" s="7"/>
      <c r="AQ170" s="7"/>
      <c r="AR170" s="7"/>
      <c r="AS170" s="7"/>
      <c r="AT170" s="7"/>
      <c r="AU170" s="12"/>
      <c r="AV170" s="7"/>
      <c r="AW170" s="143"/>
      <c r="AX170" s="75"/>
      <c r="AY170" s="91"/>
      <c r="AZ170" s="91"/>
      <c r="BA170" s="91"/>
      <c r="BB170" s="75"/>
      <c r="BC170" s="75"/>
      <c r="BD170" s="75"/>
      <c r="BE170" s="75"/>
      <c r="BF170" s="75"/>
      <c r="BG170" s="75"/>
      <c r="BH170" s="91"/>
      <c r="BI170" s="75"/>
      <c r="BJ170" s="75"/>
      <c r="BK170" s="75"/>
      <c r="BL170" s="75"/>
      <c r="BM170" s="91"/>
      <c r="BN170" s="75"/>
      <c r="BO170" s="91"/>
      <c r="BP170" s="18"/>
      <c r="BQ170" s="18"/>
      <c r="BR170" s="18"/>
      <c r="BS170" s="18"/>
      <c r="BT170" s="18"/>
      <c r="BU170" s="18"/>
      <c r="BV170" s="18"/>
      <c r="BW170" s="18"/>
      <c r="CV170" s="18"/>
      <c r="CW170" s="18"/>
      <c r="CX170" s="18"/>
      <c r="CY170" s="18"/>
      <c r="CZ170" s="18"/>
      <c r="DA170" s="18"/>
      <c r="DB170" s="18"/>
      <c r="DC170" s="18"/>
      <c r="DD170" s="18"/>
      <c r="DE170" s="18"/>
      <c r="DF170" s="18"/>
      <c r="DG170" s="18"/>
      <c r="DH170" s="18"/>
      <c r="DI170" s="18"/>
      <c r="DJ170" s="18"/>
      <c r="DK170" s="18"/>
      <c r="DL170" s="18"/>
      <c r="DM170" s="18"/>
    </row>
    <row r="171" spans="1:117" x14ac:dyDescent="0.3">
      <c r="A171" s="140"/>
      <c r="B171" s="69"/>
      <c r="C171" s="69"/>
      <c r="D171" s="69"/>
      <c r="E171" s="69"/>
      <c r="F171" s="69"/>
      <c r="G171" s="69"/>
      <c r="H171" s="69"/>
      <c r="Z171" s="32"/>
      <c r="AI171" s="7"/>
      <c r="AJ171" s="7"/>
      <c r="AK171" s="7"/>
      <c r="AL171" s="7"/>
      <c r="AM171" s="7"/>
      <c r="AN171" s="7"/>
      <c r="AO171" s="7"/>
      <c r="AP171" s="7"/>
      <c r="AQ171" s="7"/>
      <c r="AR171" s="7"/>
      <c r="AS171" s="7"/>
      <c r="AT171" s="7"/>
      <c r="AU171" s="12"/>
      <c r="AV171" s="7"/>
      <c r="AW171" s="143"/>
      <c r="AX171" s="75"/>
      <c r="AY171" s="91"/>
      <c r="AZ171" s="91"/>
      <c r="BA171" s="91"/>
      <c r="BB171" s="75"/>
      <c r="BC171" s="75"/>
      <c r="BD171" s="75"/>
      <c r="BE171" s="75"/>
      <c r="BF171" s="75"/>
      <c r="BG171" s="75"/>
      <c r="BH171" s="91"/>
      <c r="BI171" s="75"/>
      <c r="BJ171" s="75"/>
      <c r="BK171" s="75"/>
      <c r="BL171" s="75"/>
      <c r="BM171" s="91"/>
      <c r="BN171" s="75"/>
      <c r="BO171" s="91"/>
      <c r="BP171" s="18"/>
      <c r="BQ171" s="18"/>
      <c r="BR171" s="18"/>
      <c r="BS171" s="18"/>
      <c r="BT171" s="18"/>
      <c r="BU171" s="18"/>
      <c r="BV171" s="18"/>
      <c r="BW171" s="18"/>
      <c r="CV171" s="18"/>
      <c r="CW171" s="18"/>
      <c r="CX171" s="18"/>
      <c r="CY171" s="18"/>
      <c r="CZ171" s="18"/>
      <c r="DA171" s="18"/>
      <c r="DB171" s="18"/>
      <c r="DC171" s="18"/>
      <c r="DD171" s="18"/>
      <c r="DE171" s="18"/>
      <c r="DF171" s="18"/>
      <c r="DG171" s="18"/>
      <c r="DH171" s="18"/>
      <c r="DI171" s="18"/>
      <c r="DJ171" s="18"/>
      <c r="DK171" s="18"/>
      <c r="DL171" s="18"/>
      <c r="DM171" s="18"/>
    </row>
    <row r="172" spans="1:117" x14ac:dyDescent="0.3">
      <c r="A172" s="140"/>
      <c r="B172" s="69"/>
      <c r="C172" s="69"/>
      <c r="D172" s="69"/>
      <c r="E172" s="69"/>
      <c r="F172" s="69"/>
      <c r="G172" s="69"/>
      <c r="H172" s="69"/>
      <c r="Z172" s="32"/>
      <c r="AI172" s="7"/>
      <c r="AJ172" s="7"/>
      <c r="AK172" s="7"/>
      <c r="AL172" s="7"/>
      <c r="AM172" s="7"/>
      <c r="AN172" s="7"/>
      <c r="AO172" s="7"/>
      <c r="AP172" s="7"/>
      <c r="AQ172" s="7"/>
      <c r="AR172" s="7"/>
      <c r="AS172" s="7"/>
      <c r="AT172" s="7"/>
      <c r="AU172" s="12"/>
      <c r="AV172" s="7"/>
      <c r="AW172" s="143"/>
      <c r="AX172" s="75"/>
      <c r="AY172" s="91"/>
      <c r="AZ172" s="91"/>
      <c r="BA172" s="91"/>
      <c r="BB172" s="75"/>
      <c r="BC172" s="75"/>
      <c r="BD172" s="75"/>
      <c r="BE172" s="75"/>
      <c r="BF172" s="75"/>
      <c r="BG172" s="75"/>
      <c r="BH172" s="91"/>
      <c r="BI172" s="75"/>
      <c r="BJ172" s="75"/>
      <c r="BK172" s="75"/>
      <c r="BL172" s="75"/>
      <c r="BM172" s="91"/>
      <c r="BN172" s="75"/>
      <c r="BO172" s="91"/>
      <c r="BP172" s="18"/>
      <c r="BQ172" s="18"/>
      <c r="BR172" s="18"/>
      <c r="BS172" s="18"/>
      <c r="BT172" s="18"/>
      <c r="BU172" s="18"/>
      <c r="BV172" s="18"/>
      <c r="BW172" s="18"/>
      <c r="CV172" s="18"/>
      <c r="CW172" s="18"/>
      <c r="CX172" s="18"/>
      <c r="CY172" s="18"/>
      <c r="CZ172" s="18"/>
      <c r="DA172" s="18"/>
      <c r="DB172" s="18"/>
      <c r="DC172" s="18"/>
      <c r="DD172" s="18"/>
      <c r="DE172" s="18"/>
      <c r="DF172" s="18"/>
      <c r="DG172" s="18"/>
      <c r="DH172" s="18"/>
      <c r="DI172" s="18"/>
      <c r="DJ172" s="18"/>
      <c r="DK172" s="18"/>
      <c r="DL172" s="18"/>
      <c r="DM172" s="18"/>
    </row>
    <row r="173" spans="1:117" x14ac:dyDescent="0.3">
      <c r="A173" s="140"/>
      <c r="B173" s="69"/>
      <c r="C173" s="69"/>
      <c r="D173" s="69"/>
      <c r="E173" s="69"/>
      <c r="F173" s="69"/>
      <c r="G173" s="69"/>
      <c r="H173" s="69"/>
      <c r="Z173" s="32"/>
      <c r="AI173" s="7"/>
      <c r="AJ173" s="7"/>
      <c r="AK173" s="7"/>
      <c r="AL173" s="7"/>
      <c r="AM173" s="7"/>
      <c r="AN173" s="7"/>
      <c r="AO173" s="7"/>
      <c r="AP173" s="7"/>
      <c r="AQ173" s="7"/>
      <c r="AR173" s="7"/>
      <c r="AS173" s="7"/>
      <c r="AT173" s="7"/>
      <c r="AU173" s="12"/>
      <c r="AV173" s="7"/>
      <c r="AW173" s="143"/>
      <c r="AX173" s="75"/>
      <c r="AY173" s="91"/>
      <c r="AZ173" s="91"/>
      <c r="BA173" s="91"/>
      <c r="BB173" s="75"/>
      <c r="BC173" s="75"/>
      <c r="BD173" s="75"/>
      <c r="BE173" s="75"/>
      <c r="BF173" s="75"/>
      <c r="BG173" s="75"/>
      <c r="BH173" s="91"/>
      <c r="BI173" s="75"/>
      <c r="BJ173" s="75"/>
      <c r="BK173" s="75"/>
      <c r="BL173" s="75"/>
      <c r="BM173" s="91"/>
      <c r="BN173" s="75"/>
      <c r="BO173" s="91"/>
      <c r="BP173" s="18"/>
      <c r="BQ173" s="18"/>
      <c r="BR173" s="18"/>
      <c r="BS173" s="18"/>
      <c r="BT173" s="18"/>
      <c r="BU173" s="18"/>
      <c r="BV173" s="18"/>
      <c r="BW173" s="18"/>
      <c r="CV173" s="18"/>
      <c r="CW173" s="18"/>
      <c r="CX173" s="18"/>
      <c r="CY173" s="18"/>
      <c r="CZ173" s="18"/>
      <c r="DA173" s="18"/>
      <c r="DB173" s="18"/>
      <c r="DC173" s="18"/>
      <c r="DD173" s="18"/>
      <c r="DE173" s="18"/>
      <c r="DF173" s="18"/>
      <c r="DG173" s="18"/>
      <c r="DH173" s="18"/>
      <c r="DI173" s="18"/>
      <c r="DJ173" s="18"/>
      <c r="DK173" s="18"/>
      <c r="DL173" s="18"/>
      <c r="DM173" s="18"/>
    </row>
    <row r="174" spans="1:117" x14ac:dyDescent="0.3">
      <c r="A174" s="140"/>
      <c r="B174" s="69"/>
      <c r="C174" s="69"/>
      <c r="D174" s="69"/>
      <c r="E174" s="69"/>
      <c r="F174" s="69"/>
      <c r="G174" s="69"/>
      <c r="H174" s="69"/>
      <c r="Z174" s="32"/>
      <c r="AI174" s="7"/>
      <c r="AJ174" s="7"/>
      <c r="AK174" s="7"/>
      <c r="AL174" s="7"/>
      <c r="AM174" s="7"/>
      <c r="AN174" s="7"/>
      <c r="AO174" s="7"/>
      <c r="AP174" s="7"/>
      <c r="AQ174" s="7"/>
      <c r="AR174" s="7"/>
      <c r="AS174" s="7"/>
      <c r="AT174" s="7"/>
      <c r="AU174" s="12"/>
      <c r="AV174" s="7"/>
      <c r="AW174" s="143"/>
      <c r="AX174" s="75"/>
      <c r="AY174" s="91"/>
      <c r="AZ174" s="91"/>
      <c r="BA174" s="91"/>
      <c r="BB174" s="75"/>
      <c r="BC174" s="75"/>
      <c r="BD174" s="75"/>
      <c r="BE174" s="75"/>
      <c r="BF174" s="75"/>
      <c r="BG174" s="75"/>
      <c r="BH174" s="91"/>
      <c r="BI174" s="75"/>
      <c r="BJ174" s="75"/>
      <c r="BK174" s="75"/>
      <c r="BL174" s="75"/>
      <c r="BM174" s="91"/>
      <c r="BN174" s="75"/>
      <c r="BO174" s="91"/>
      <c r="BP174" s="18"/>
      <c r="BQ174" s="18"/>
      <c r="BR174" s="18"/>
      <c r="BS174" s="18"/>
      <c r="BT174" s="18"/>
      <c r="BU174" s="18"/>
      <c r="BV174" s="18"/>
      <c r="BW174" s="18"/>
      <c r="CV174" s="18"/>
      <c r="CW174" s="18"/>
      <c r="CX174" s="18"/>
      <c r="CY174" s="18"/>
      <c r="CZ174" s="18"/>
      <c r="DA174" s="18"/>
      <c r="DB174" s="18"/>
      <c r="DC174" s="18"/>
      <c r="DD174" s="18"/>
      <c r="DE174" s="18"/>
      <c r="DF174" s="18"/>
      <c r="DG174" s="18"/>
      <c r="DH174" s="18"/>
      <c r="DI174" s="18"/>
      <c r="DJ174" s="18"/>
      <c r="DK174" s="18"/>
      <c r="DL174" s="18"/>
      <c r="DM174" s="18"/>
    </row>
    <row r="175" spans="1:117" x14ac:dyDescent="0.3">
      <c r="A175" s="140"/>
      <c r="B175" s="69"/>
      <c r="C175" s="69"/>
      <c r="D175" s="69"/>
      <c r="E175" s="69"/>
      <c r="F175" s="69"/>
      <c r="G175" s="69"/>
      <c r="H175" s="69"/>
      <c r="Z175" s="32"/>
      <c r="AI175" s="7"/>
      <c r="AJ175" s="7"/>
      <c r="AK175" s="7"/>
      <c r="AL175" s="7"/>
      <c r="AM175" s="7"/>
      <c r="AN175" s="7"/>
      <c r="AO175" s="7"/>
      <c r="AP175" s="7"/>
      <c r="AQ175" s="7"/>
      <c r="AR175" s="7"/>
      <c r="AS175" s="7"/>
      <c r="AT175" s="7"/>
      <c r="AU175" s="12"/>
      <c r="AV175" s="7"/>
      <c r="AW175" s="143"/>
      <c r="AX175" s="75"/>
      <c r="AY175" s="91"/>
      <c r="AZ175" s="91"/>
      <c r="BA175" s="91"/>
      <c r="BB175" s="75"/>
      <c r="BC175" s="75"/>
      <c r="BD175" s="75"/>
      <c r="BE175" s="75"/>
      <c r="BF175" s="75"/>
      <c r="BG175" s="75"/>
      <c r="BH175" s="91"/>
      <c r="BI175" s="75"/>
      <c r="BJ175" s="75"/>
      <c r="BK175" s="75"/>
      <c r="BL175" s="75"/>
      <c r="BM175" s="91"/>
      <c r="BN175" s="75"/>
      <c r="BO175" s="91"/>
      <c r="BP175" s="18"/>
      <c r="BQ175" s="18"/>
      <c r="BR175" s="18"/>
      <c r="BS175" s="18"/>
      <c r="BT175" s="18"/>
      <c r="BU175" s="18"/>
      <c r="BV175" s="18"/>
      <c r="BW175" s="18"/>
      <c r="CV175" s="18"/>
      <c r="CW175" s="18"/>
      <c r="CX175" s="18"/>
      <c r="CY175" s="18"/>
      <c r="CZ175" s="18"/>
      <c r="DA175" s="18"/>
      <c r="DB175" s="18"/>
      <c r="DC175" s="18"/>
      <c r="DD175" s="18"/>
      <c r="DE175" s="18"/>
      <c r="DF175" s="18"/>
      <c r="DG175" s="18"/>
      <c r="DH175" s="18"/>
      <c r="DI175" s="18"/>
      <c r="DJ175" s="18"/>
      <c r="DK175" s="18"/>
      <c r="DL175" s="18"/>
      <c r="DM175" s="18"/>
    </row>
    <row r="176" spans="1:117" x14ac:dyDescent="0.3">
      <c r="A176" s="140"/>
      <c r="B176" s="69"/>
      <c r="C176" s="69"/>
      <c r="D176" s="69"/>
      <c r="E176" s="69"/>
      <c r="F176" s="69"/>
      <c r="G176" s="69"/>
      <c r="H176" s="69"/>
      <c r="Z176" s="32"/>
      <c r="AI176" s="7"/>
      <c r="AJ176" s="7"/>
      <c r="AK176" s="7"/>
      <c r="AL176" s="7"/>
      <c r="AM176" s="7"/>
      <c r="AN176" s="7"/>
      <c r="AO176" s="7"/>
      <c r="AP176" s="7"/>
      <c r="AQ176" s="7"/>
      <c r="AR176" s="7"/>
      <c r="AS176" s="7"/>
      <c r="AT176" s="7"/>
      <c r="AU176" s="12"/>
      <c r="AV176" s="7"/>
      <c r="AW176" s="143"/>
      <c r="AX176" s="75"/>
      <c r="AY176" s="91"/>
      <c r="AZ176" s="91"/>
      <c r="BA176" s="91"/>
      <c r="BB176" s="75"/>
      <c r="BC176" s="75"/>
      <c r="BD176" s="75"/>
      <c r="BE176" s="75"/>
      <c r="BF176" s="75"/>
      <c r="BG176" s="75"/>
      <c r="BH176" s="91"/>
      <c r="BI176" s="75"/>
      <c r="BJ176" s="75"/>
      <c r="BK176" s="75"/>
      <c r="BL176" s="75"/>
      <c r="BM176" s="91"/>
      <c r="BN176" s="75"/>
      <c r="BO176" s="91"/>
      <c r="BP176" s="18"/>
      <c r="BQ176" s="18"/>
      <c r="BR176" s="18"/>
      <c r="BS176" s="18"/>
      <c r="BT176" s="18"/>
      <c r="BU176" s="18"/>
      <c r="BV176" s="18"/>
      <c r="BW176" s="18"/>
      <c r="CV176" s="18"/>
      <c r="CW176" s="18"/>
      <c r="CX176" s="18"/>
      <c r="CY176" s="18"/>
      <c r="CZ176" s="18"/>
      <c r="DA176" s="18"/>
      <c r="DB176" s="18"/>
      <c r="DC176" s="18"/>
      <c r="DD176" s="18"/>
      <c r="DE176" s="18"/>
      <c r="DF176" s="18"/>
      <c r="DG176" s="18"/>
      <c r="DH176" s="18"/>
      <c r="DI176" s="18"/>
      <c r="DJ176" s="18"/>
      <c r="DK176" s="18"/>
      <c r="DL176" s="18"/>
      <c r="DM176" s="18"/>
    </row>
    <row r="177" spans="1:117" x14ac:dyDescent="0.3">
      <c r="A177" s="140"/>
      <c r="B177" s="69"/>
      <c r="C177" s="69"/>
      <c r="D177" s="69"/>
      <c r="E177" s="69"/>
      <c r="F177" s="69"/>
      <c r="G177" s="69"/>
      <c r="H177" s="69"/>
      <c r="Z177" s="32"/>
      <c r="AI177" s="7"/>
      <c r="AJ177" s="7"/>
      <c r="AK177" s="7"/>
      <c r="AL177" s="7"/>
      <c r="AM177" s="7"/>
      <c r="AN177" s="7"/>
      <c r="AO177" s="7"/>
      <c r="AP177" s="7"/>
      <c r="AQ177" s="7"/>
      <c r="AR177" s="7"/>
      <c r="AS177" s="7"/>
      <c r="AT177" s="7"/>
      <c r="AU177" s="12"/>
      <c r="AV177" s="7"/>
      <c r="AW177" s="143"/>
      <c r="AX177" s="75"/>
      <c r="AY177" s="91"/>
      <c r="AZ177" s="91"/>
      <c r="BA177" s="91"/>
      <c r="BB177" s="75"/>
      <c r="BC177" s="75"/>
      <c r="BD177" s="75"/>
      <c r="BE177" s="75"/>
      <c r="BF177" s="75"/>
      <c r="BG177" s="75"/>
      <c r="BH177" s="91"/>
      <c r="BI177" s="75"/>
      <c r="BJ177" s="75"/>
      <c r="BK177" s="75"/>
      <c r="BL177" s="75"/>
      <c r="BM177" s="91"/>
      <c r="BN177" s="75"/>
      <c r="BO177" s="91"/>
      <c r="BP177" s="18"/>
      <c r="BQ177" s="18"/>
      <c r="BR177" s="18"/>
      <c r="BS177" s="18"/>
      <c r="BT177" s="18"/>
      <c r="BU177" s="18"/>
      <c r="BV177" s="18"/>
      <c r="BW177" s="18"/>
      <c r="CV177" s="18"/>
      <c r="CW177" s="18"/>
      <c r="CX177" s="18"/>
      <c r="CY177" s="18"/>
      <c r="CZ177" s="18"/>
      <c r="DA177" s="18"/>
      <c r="DB177" s="18"/>
      <c r="DC177" s="18"/>
      <c r="DD177" s="18"/>
      <c r="DE177" s="18"/>
      <c r="DF177" s="18"/>
      <c r="DG177" s="18"/>
      <c r="DH177" s="18"/>
      <c r="DI177" s="18"/>
      <c r="DJ177" s="18"/>
      <c r="DK177" s="18"/>
      <c r="DL177" s="18"/>
      <c r="DM177" s="18"/>
    </row>
    <row r="178" spans="1:117" x14ac:dyDescent="0.3">
      <c r="A178" s="140"/>
      <c r="B178" s="69"/>
      <c r="C178" s="69"/>
      <c r="D178" s="69"/>
      <c r="E178" s="69"/>
      <c r="F178" s="69"/>
      <c r="G178" s="69"/>
      <c r="H178" s="69"/>
      <c r="Z178" s="32"/>
      <c r="AI178" s="7"/>
      <c r="AJ178" s="7"/>
      <c r="AK178" s="7"/>
      <c r="AL178" s="7"/>
      <c r="AM178" s="7"/>
      <c r="AN178" s="7"/>
      <c r="AO178" s="7"/>
      <c r="AP178" s="7"/>
      <c r="AQ178" s="7"/>
      <c r="AR178" s="7"/>
      <c r="AS178" s="7"/>
      <c r="AT178" s="7"/>
      <c r="AU178" s="12"/>
      <c r="AV178" s="7"/>
      <c r="AW178" s="143"/>
      <c r="AX178" s="75"/>
      <c r="AY178" s="91"/>
      <c r="AZ178" s="91"/>
      <c r="BA178" s="91"/>
      <c r="BB178" s="75"/>
      <c r="BC178" s="75"/>
      <c r="BD178" s="75"/>
      <c r="BE178" s="75"/>
      <c r="BF178" s="75"/>
      <c r="BG178" s="75"/>
      <c r="BH178" s="91"/>
      <c r="BI178" s="75"/>
      <c r="BJ178" s="75"/>
      <c r="BK178" s="75"/>
      <c r="BL178" s="75"/>
      <c r="BM178" s="91"/>
      <c r="BN178" s="75"/>
      <c r="BO178" s="91"/>
      <c r="BP178" s="18"/>
      <c r="BQ178" s="18"/>
      <c r="BR178" s="18"/>
      <c r="BS178" s="18"/>
      <c r="BT178" s="18"/>
      <c r="BU178" s="18"/>
      <c r="BV178" s="18"/>
      <c r="BW178" s="18"/>
      <c r="CV178" s="18"/>
      <c r="CW178" s="18"/>
      <c r="CX178" s="18"/>
      <c r="CY178" s="18"/>
      <c r="CZ178" s="18"/>
      <c r="DA178" s="18"/>
      <c r="DB178" s="18"/>
      <c r="DC178" s="18"/>
      <c r="DD178" s="18"/>
      <c r="DE178" s="18"/>
      <c r="DF178" s="18"/>
      <c r="DG178" s="18"/>
      <c r="DH178" s="18"/>
      <c r="DI178" s="18"/>
      <c r="DJ178" s="18"/>
      <c r="DK178" s="18"/>
      <c r="DL178" s="18"/>
      <c r="DM178" s="18"/>
    </row>
    <row r="179" spans="1:117" x14ac:dyDescent="0.3">
      <c r="A179" s="140"/>
      <c r="B179" s="69"/>
      <c r="C179" s="69"/>
      <c r="D179" s="69"/>
      <c r="E179" s="69"/>
      <c r="F179" s="69"/>
      <c r="G179" s="69"/>
      <c r="H179" s="69"/>
      <c r="Z179" s="32"/>
      <c r="AI179" s="7"/>
      <c r="AJ179" s="7"/>
      <c r="AK179" s="7"/>
      <c r="AL179" s="7"/>
      <c r="AM179" s="7"/>
      <c r="AN179" s="7"/>
      <c r="AO179" s="7"/>
      <c r="AP179" s="7"/>
      <c r="AQ179" s="7"/>
      <c r="AR179" s="7"/>
      <c r="AS179" s="7"/>
      <c r="AT179" s="7"/>
      <c r="AU179" s="12"/>
      <c r="AV179" s="7"/>
      <c r="AW179" s="143"/>
      <c r="AX179" s="75"/>
      <c r="AY179" s="91"/>
      <c r="AZ179" s="91"/>
      <c r="BA179" s="91"/>
      <c r="BB179" s="75"/>
      <c r="BC179" s="75"/>
      <c r="BD179" s="75"/>
      <c r="BE179" s="75"/>
      <c r="BF179" s="75"/>
      <c r="BG179" s="75"/>
      <c r="BH179" s="91"/>
      <c r="BI179" s="75"/>
      <c r="BJ179" s="75"/>
      <c r="BK179" s="75"/>
      <c r="BL179" s="75"/>
      <c r="BM179" s="91"/>
      <c r="BN179" s="75"/>
      <c r="BO179" s="91"/>
      <c r="BP179" s="18"/>
      <c r="BQ179" s="18"/>
      <c r="BR179" s="18"/>
      <c r="BS179" s="18"/>
      <c r="BT179" s="18"/>
      <c r="BU179" s="18"/>
      <c r="BV179" s="18"/>
      <c r="BW179" s="18"/>
      <c r="CV179" s="18"/>
      <c r="CW179" s="18"/>
      <c r="CX179" s="18"/>
      <c r="CY179" s="18"/>
      <c r="CZ179" s="18"/>
      <c r="DA179" s="18"/>
      <c r="DB179" s="18"/>
      <c r="DC179" s="18"/>
      <c r="DD179" s="18"/>
      <c r="DE179" s="18"/>
      <c r="DF179" s="18"/>
      <c r="DG179" s="18"/>
      <c r="DH179" s="18"/>
      <c r="DI179" s="18"/>
      <c r="DJ179" s="18"/>
      <c r="DK179" s="18"/>
      <c r="DL179" s="18"/>
      <c r="DM179" s="18"/>
    </row>
    <row r="180" spans="1:117" x14ac:dyDescent="0.3">
      <c r="A180" s="140"/>
      <c r="B180" s="69"/>
      <c r="C180" s="69"/>
      <c r="D180" s="69"/>
      <c r="E180" s="69"/>
      <c r="F180" s="69"/>
      <c r="G180" s="69"/>
      <c r="H180" s="69"/>
      <c r="Z180" s="32"/>
      <c r="AI180" s="7"/>
      <c r="AJ180" s="7"/>
      <c r="AK180" s="7"/>
      <c r="AL180" s="7"/>
      <c r="AM180" s="7"/>
      <c r="AN180" s="7"/>
      <c r="AO180" s="7"/>
      <c r="AP180" s="7"/>
      <c r="AQ180" s="7"/>
      <c r="AR180" s="7"/>
      <c r="AS180" s="7"/>
      <c r="AT180" s="7"/>
      <c r="AU180" s="12"/>
      <c r="AV180" s="7"/>
      <c r="AW180" s="143"/>
      <c r="AX180" s="75"/>
      <c r="AY180" s="91"/>
      <c r="AZ180" s="91"/>
      <c r="BA180" s="91"/>
      <c r="BB180" s="75"/>
      <c r="BC180" s="75"/>
      <c r="BD180" s="75"/>
      <c r="BE180" s="75"/>
      <c r="BF180" s="75"/>
      <c r="BG180" s="75"/>
      <c r="BH180" s="91"/>
      <c r="BI180" s="75"/>
      <c r="BJ180" s="75"/>
      <c r="BK180" s="75"/>
      <c r="BL180" s="75"/>
      <c r="BM180" s="91"/>
      <c r="BN180" s="75"/>
      <c r="BO180" s="91"/>
      <c r="BP180" s="18"/>
      <c r="BQ180" s="18"/>
      <c r="BR180" s="18"/>
      <c r="BS180" s="18"/>
      <c r="BT180" s="18"/>
      <c r="BU180" s="18"/>
      <c r="BV180" s="18"/>
      <c r="BW180" s="18"/>
      <c r="CV180" s="18"/>
      <c r="CW180" s="18"/>
      <c r="CX180" s="18"/>
      <c r="CY180" s="18"/>
      <c r="CZ180" s="18"/>
      <c r="DA180" s="18"/>
      <c r="DB180" s="18"/>
      <c r="DC180" s="18"/>
      <c r="DD180" s="18"/>
      <c r="DE180" s="18"/>
      <c r="DF180" s="18"/>
      <c r="DG180" s="18"/>
      <c r="DH180" s="18"/>
      <c r="DI180" s="18"/>
      <c r="DJ180" s="18"/>
      <c r="DK180" s="18"/>
      <c r="DL180" s="18"/>
      <c r="DM180" s="18"/>
    </row>
    <row r="181" spans="1:117" x14ac:dyDescent="0.3">
      <c r="A181" s="140"/>
      <c r="B181" s="69"/>
      <c r="C181" s="69"/>
      <c r="D181" s="69"/>
      <c r="E181" s="69"/>
      <c r="F181" s="69"/>
      <c r="G181" s="69"/>
      <c r="H181" s="69"/>
      <c r="Z181" s="32"/>
      <c r="AI181" s="7"/>
      <c r="AJ181" s="7"/>
      <c r="AK181" s="7"/>
      <c r="AL181" s="7"/>
      <c r="AM181" s="7"/>
      <c r="AN181" s="7"/>
      <c r="AO181" s="7"/>
      <c r="AP181" s="7"/>
      <c r="AQ181" s="7"/>
      <c r="AR181" s="7"/>
      <c r="AS181" s="7"/>
      <c r="AT181" s="7"/>
      <c r="AU181" s="12"/>
      <c r="AV181" s="7"/>
      <c r="AW181" s="143"/>
      <c r="AX181" s="75"/>
      <c r="AY181" s="91"/>
      <c r="AZ181" s="91"/>
      <c r="BA181" s="91"/>
      <c r="BB181" s="75"/>
      <c r="BC181" s="75"/>
      <c r="BD181" s="75"/>
      <c r="BE181" s="75"/>
      <c r="BF181" s="75"/>
      <c r="BG181" s="75"/>
      <c r="BH181" s="91"/>
      <c r="BI181" s="75"/>
      <c r="BJ181" s="75"/>
      <c r="BK181" s="75"/>
      <c r="BL181" s="75"/>
      <c r="BM181" s="91"/>
      <c r="BN181" s="75"/>
      <c r="BO181" s="91"/>
      <c r="BP181" s="18"/>
      <c r="BQ181" s="18"/>
      <c r="BR181" s="18"/>
      <c r="BS181" s="18"/>
      <c r="BT181" s="18"/>
      <c r="BU181" s="18"/>
      <c r="BV181" s="18"/>
      <c r="BW181" s="18"/>
      <c r="CV181" s="18"/>
      <c r="CW181" s="18"/>
      <c r="CX181" s="18"/>
      <c r="CY181" s="18"/>
      <c r="CZ181" s="18"/>
      <c r="DA181" s="18"/>
      <c r="DB181" s="18"/>
      <c r="DC181" s="18"/>
      <c r="DD181" s="18"/>
      <c r="DE181" s="18"/>
      <c r="DF181" s="18"/>
      <c r="DG181" s="18"/>
      <c r="DH181" s="18"/>
      <c r="DI181" s="18"/>
      <c r="DJ181" s="18"/>
      <c r="DK181" s="18"/>
      <c r="DL181" s="18"/>
      <c r="DM181" s="18"/>
    </row>
    <row r="182" spans="1:117" x14ac:dyDescent="0.3">
      <c r="A182" s="140"/>
      <c r="B182" s="69"/>
      <c r="C182" s="69"/>
      <c r="D182" s="69"/>
      <c r="E182" s="69"/>
      <c r="F182" s="69"/>
      <c r="G182" s="69"/>
      <c r="H182" s="69"/>
      <c r="Z182" s="32"/>
      <c r="AI182" s="7"/>
      <c r="AJ182" s="7"/>
      <c r="AK182" s="7"/>
      <c r="AL182" s="7"/>
      <c r="AM182" s="7"/>
      <c r="AN182" s="7"/>
      <c r="AO182" s="7"/>
      <c r="AP182" s="7"/>
      <c r="AQ182" s="7"/>
      <c r="AR182" s="7"/>
      <c r="AS182" s="7"/>
      <c r="AT182" s="7"/>
      <c r="AU182" s="12"/>
      <c r="AV182" s="7"/>
      <c r="AW182" s="143"/>
      <c r="AX182" s="75"/>
      <c r="AY182" s="91"/>
      <c r="AZ182" s="91"/>
      <c r="BA182" s="91"/>
      <c r="BB182" s="75"/>
      <c r="BC182" s="75"/>
      <c r="BD182" s="75"/>
      <c r="BE182" s="75"/>
      <c r="BF182" s="75"/>
      <c r="BG182" s="75"/>
      <c r="BH182" s="91"/>
      <c r="BI182" s="75"/>
      <c r="BJ182" s="75"/>
      <c r="BK182" s="75"/>
      <c r="BL182" s="75"/>
      <c r="BM182" s="91"/>
      <c r="BN182" s="75"/>
      <c r="BO182" s="91"/>
      <c r="BP182" s="18"/>
      <c r="BQ182" s="18"/>
      <c r="BR182" s="18"/>
      <c r="BS182" s="18"/>
      <c r="BT182" s="18"/>
      <c r="BU182" s="18"/>
      <c r="BV182" s="18"/>
      <c r="BW182" s="18"/>
      <c r="CV182" s="18"/>
      <c r="CW182" s="18"/>
      <c r="CX182" s="18"/>
      <c r="CY182" s="18"/>
      <c r="CZ182" s="18"/>
      <c r="DA182" s="18"/>
      <c r="DB182" s="18"/>
      <c r="DC182" s="18"/>
      <c r="DD182" s="18"/>
      <c r="DE182" s="18"/>
      <c r="DF182" s="18"/>
      <c r="DG182" s="18"/>
      <c r="DH182" s="18"/>
      <c r="DI182" s="18"/>
      <c r="DJ182" s="18"/>
      <c r="DK182" s="18"/>
      <c r="DL182" s="18"/>
      <c r="DM182" s="18"/>
    </row>
    <row r="183" spans="1:117" x14ac:dyDescent="0.3">
      <c r="A183" s="140"/>
      <c r="B183" s="69"/>
      <c r="C183" s="69"/>
      <c r="D183" s="69"/>
      <c r="E183" s="69"/>
      <c r="F183" s="69"/>
      <c r="G183" s="69"/>
      <c r="H183" s="69"/>
      <c r="Z183" s="32"/>
      <c r="AI183" s="7"/>
      <c r="AJ183" s="7"/>
      <c r="AK183" s="7"/>
      <c r="AL183" s="7"/>
      <c r="AM183" s="7"/>
      <c r="AN183" s="7"/>
      <c r="AO183" s="7"/>
      <c r="AP183" s="7"/>
      <c r="AQ183" s="7"/>
      <c r="AR183" s="7"/>
      <c r="AS183" s="7"/>
      <c r="AT183" s="7"/>
      <c r="AU183" s="12"/>
      <c r="AV183" s="7"/>
      <c r="AW183" s="143"/>
      <c r="AX183" s="75"/>
      <c r="AY183" s="91"/>
      <c r="AZ183" s="91"/>
      <c r="BA183" s="91"/>
      <c r="BB183" s="75"/>
      <c r="BC183" s="75"/>
      <c r="BD183" s="75"/>
      <c r="BE183" s="75"/>
      <c r="BF183" s="75"/>
      <c r="BG183" s="75"/>
      <c r="BH183" s="91"/>
      <c r="BI183" s="75"/>
      <c r="BJ183" s="75"/>
      <c r="BK183" s="75"/>
      <c r="BL183" s="75"/>
      <c r="BM183" s="91"/>
      <c r="BN183" s="75"/>
      <c r="BO183" s="91"/>
      <c r="BP183" s="18"/>
      <c r="BQ183" s="18"/>
      <c r="BR183" s="18"/>
      <c r="BS183" s="18"/>
      <c r="BT183" s="18"/>
      <c r="BU183" s="18"/>
      <c r="BV183" s="18"/>
      <c r="BW183" s="18"/>
      <c r="CV183" s="18"/>
      <c r="CW183" s="18"/>
      <c r="CX183" s="18"/>
      <c r="CY183" s="18"/>
      <c r="CZ183" s="18"/>
      <c r="DA183" s="18"/>
      <c r="DB183" s="18"/>
      <c r="DC183" s="18"/>
      <c r="DD183" s="18"/>
      <c r="DE183" s="18"/>
      <c r="DF183" s="18"/>
      <c r="DG183" s="18"/>
      <c r="DH183" s="18"/>
      <c r="DI183" s="18"/>
      <c r="DJ183" s="18"/>
      <c r="DK183" s="18"/>
      <c r="DL183" s="18"/>
      <c r="DM183" s="18"/>
    </row>
    <row r="184" spans="1:117" x14ac:dyDescent="0.3">
      <c r="A184" s="140"/>
      <c r="B184" s="69"/>
      <c r="C184" s="69"/>
      <c r="D184" s="69"/>
      <c r="E184" s="69"/>
      <c r="F184" s="69"/>
      <c r="G184" s="69"/>
      <c r="H184" s="69"/>
      <c r="Z184" s="32"/>
      <c r="AI184" s="7"/>
      <c r="AJ184" s="7"/>
      <c r="AK184" s="7"/>
      <c r="AL184" s="7"/>
      <c r="AM184" s="7"/>
      <c r="AN184" s="7"/>
      <c r="AO184" s="7"/>
      <c r="AP184" s="7"/>
      <c r="AQ184" s="7"/>
      <c r="AR184" s="7"/>
      <c r="AS184" s="7"/>
      <c r="AT184" s="7"/>
      <c r="AU184" s="12"/>
      <c r="AV184" s="7"/>
      <c r="AW184" s="143"/>
      <c r="AX184" s="75"/>
      <c r="AY184" s="91"/>
      <c r="AZ184" s="91"/>
      <c r="BA184" s="91"/>
      <c r="BB184" s="75"/>
      <c r="BC184" s="75"/>
      <c r="BD184" s="75"/>
      <c r="BE184" s="75"/>
      <c r="BF184" s="75"/>
      <c r="BG184" s="75"/>
      <c r="BH184" s="91"/>
      <c r="BI184" s="75"/>
      <c r="BJ184" s="75"/>
      <c r="BK184" s="75"/>
      <c r="BL184" s="75"/>
      <c r="BM184" s="91"/>
      <c r="BN184" s="75"/>
      <c r="BO184" s="91"/>
      <c r="BP184" s="18"/>
      <c r="BQ184" s="18"/>
      <c r="BR184" s="18"/>
      <c r="BS184" s="18"/>
      <c r="BT184" s="18"/>
      <c r="BU184" s="18"/>
      <c r="BV184" s="18"/>
      <c r="BW184" s="18"/>
      <c r="CV184" s="18"/>
      <c r="CW184" s="18"/>
      <c r="CX184" s="18"/>
      <c r="CY184" s="18"/>
      <c r="CZ184" s="18"/>
      <c r="DA184" s="18"/>
      <c r="DB184" s="18"/>
      <c r="DC184" s="18"/>
      <c r="DD184" s="18"/>
      <c r="DE184" s="18"/>
      <c r="DF184" s="18"/>
      <c r="DG184" s="18"/>
      <c r="DH184" s="18"/>
      <c r="DI184" s="18"/>
      <c r="DJ184" s="18"/>
      <c r="DK184" s="18"/>
      <c r="DL184" s="18"/>
      <c r="DM184" s="18"/>
    </row>
    <row r="185" spans="1:117" x14ac:dyDescent="0.3">
      <c r="A185" s="140"/>
      <c r="B185" s="69"/>
      <c r="C185" s="69"/>
      <c r="D185" s="69"/>
      <c r="E185" s="69"/>
      <c r="F185" s="69"/>
      <c r="G185" s="69"/>
      <c r="H185" s="69"/>
      <c r="Z185" s="32"/>
      <c r="AI185" s="7"/>
      <c r="AJ185" s="7"/>
      <c r="AK185" s="7"/>
      <c r="AL185" s="7"/>
      <c r="AM185" s="7"/>
      <c r="AN185" s="7"/>
      <c r="AO185" s="7"/>
      <c r="AP185" s="7"/>
      <c r="AQ185" s="7"/>
      <c r="AR185" s="7"/>
      <c r="AS185" s="7"/>
      <c r="AT185" s="7"/>
      <c r="AU185" s="12"/>
      <c r="AV185" s="7"/>
      <c r="AW185" s="143"/>
      <c r="AX185" s="75"/>
      <c r="AY185" s="91"/>
      <c r="AZ185" s="91"/>
      <c r="BA185" s="91"/>
      <c r="BB185" s="75"/>
      <c r="BC185" s="75"/>
      <c r="BD185" s="75"/>
      <c r="BE185" s="75"/>
      <c r="BF185" s="75"/>
      <c r="BG185" s="75"/>
      <c r="BH185" s="91"/>
      <c r="BI185" s="75"/>
      <c r="BJ185" s="75"/>
      <c r="BK185" s="75"/>
      <c r="BL185" s="75"/>
      <c r="BM185" s="91"/>
      <c r="BN185" s="75"/>
      <c r="BO185" s="91"/>
      <c r="BP185" s="18"/>
      <c r="BQ185" s="18"/>
      <c r="BR185" s="18"/>
      <c r="BS185" s="18"/>
      <c r="BT185" s="18"/>
      <c r="BU185" s="18"/>
      <c r="BV185" s="18"/>
      <c r="BW185" s="18"/>
      <c r="CV185" s="18"/>
      <c r="CW185" s="18"/>
      <c r="CX185" s="18"/>
      <c r="CY185" s="18"/>
      <c r="CZ185" s="18"/>
      <c r="DA185" s="18"/>
      <c r="DB185" s="18"/>
      <c r="DC185" s="18"/>
      <c r="DD185" s="18"/>
      <c r="DE185" s="18"/>
      <c r="DF185" s="18"/>
      <c r="DG185" s="18"/>
      <c r="DH185" s="18"/>
      <c r="DI185" s="18"/>
      <c r="DJ185" s="18"/>
      <c r="DK185" s="18"/>
      <c r="DL185" s="18"/>
      <c r="DM185" s="18"/>
    </row>
    <row r="186" spans="1:117" x14ac:dyDescent="0.3">
      <c r="A186" s="140"/>
      <c r="B186" s="69"/>
      <c r="C186" s="69"/>
      <c r="D186" s="69"/>
      <c r="E186" s="69"/>
      <c r="F186" s="69"/>
      <c r="G186" s="69"/>
      <c r="H186" s="69"/>
      <c r="Z186" s="32"/>
      <c r="AI186" s="7"/>
      <c r="AJ186" s="7"/>
      <c r="AK186" s="7"/>
      <c r="AL186" s="7"/>
      <c r="AM186" s="7"/>
      <c r="AN186" s="7"/>
      <c r="AO186" s="7"/>
      <c r="AP186" s="7"/>
      <c r="AQ186" s="7"/>
      <c r="AR186" s="7"/>
      <c r="AS186" s="7"/>
      <c r="AT186" s="7"/>
      <c r="AU186" s="12"/>
      <c r="AV186" s="7"/>
      <c r="AW186" s="143"/>
      <c r="AX186" s="75"/>
      <c r="AY186" s="91"/>
      <c r="AZ186" s="91"/>
      <c r="BA186" s="91"/>
      <c r="BB186" s="75"/>
      <c r="BC186" s="75"/>
      <c r="BD186" s="75"/>
      <c r="BE186" s="75"/>
      <c r="BF186" s="75"/>
      <c r="BG186" s="75"/>
      <c r="BH186" s="91"/>
      <c r="BI186" s="75"/>
      <c r="BJ186" s="75"/>
      <c r="BK186" s="75"/>
      <c r="BL186" s="75"/>
      <c r="BM186" s="91"/>
      <c r="BN186" s="75"/>
      <c r="BO186" s="91"/>
      <c r="BP186" s="18"/>
      <c r="BQ186" s="18"/>
      <c r="BR186" s="18"/>
      <c r="BS186" s="18"/>
      <c r="BT186" s="18"/>
      <c r="BU186" s="18"/>
      <c r="BV186" s="18"/>
      <c r="BW186" s="18"/>
      <c r="CV186" s="18"/>
      <c r="CW186" s="18"/>
      <c r="CX186" s="18"/>
      <c r="CY186" s="18"/>
      <c r="CZ186" s="18"/>
      <c r="DA186" s="18"/>
      <c r="DB186" s="18"/>
      <c r="DC186" s="18"/>
      <c r="DD186" s="18"/>
      <c r="DE186" s="18"/>
      <c r="DF186" s="18"/>
      <c r="DG186" s="18"/>
      <c r="DH186" s="18"/>
      <c r="DI186" s="18"/>
      <c r="DJ186" s="18"/>
      <c r="DK186" s="18"/>
      <c r="DL186" s="18"/>
      <c r="DM186" s="18"/>
    </row>
    <row r="187" spans="1:117" x14ac:dyDescent="0.3">
      <c r="A187" s="140"/>
      <c r="B187" s="69"/>
      <c r="C187" s="69"/>
      <c r="D187" s="69"/>
      <c r="E187" s="69"/>
      <c r="F187" s="69"/>
      <c r="G187" s="69"/>
      <c r="H187" s="69"/>
      <c r="Z187" s="32"/>
      <c r="AI187" s="7"/>
      <c r="AJ187" s="7"/>
      <c r="AK187" s="7"/>
      <c r="AL187" s="7"/>
      <c r="AM187" s="7"/>
      <c r="AN187" s="7"/>
      <c r="AO187" s="7"/>
      <c r="AP187" s="7"/>
      <c r="AQ187" s="7"/>
      <c r="AR187" s="7"/>
      <c r="AS187" s="7"/>
      <c r="AT187" s="7"/>
      <c r="AU187" s="12"/>
      <c r="AV187" s="7"/>
      <c r="AW187" s="143"/>
      <c r="AX187" s="75"/>
      <c r="AY187" s="91"/>
      <c r="AZ187" s="91"/>
      <c r="BA187" s="91"/>
      <c r="BB187" s="75"/>
      <c r="BC187" s="75"/>
      <c r="BD187" s="75"/>
      <c r="BE187" s="75"/>
      <c r="BF187" s="75"/>
      <c r="BG187" s="75"/>
      <c r="BH187" s="91"/>
      <c r="BI187" s="75"/>
      <c r="BJ187" s="75"/>
      <c r="BK187" s="75"/>
      <c r="BL187" s="75"/>
      <c r="BM187" s="91"/>
      <c r="BN187" s="75"/>
      <c r="BO187" s="91"/>
      <c r="BP187" s="18"/>
      <c r="BQ187" s="18"/>
      <c r="BR187" s="18"/>
      <c r="BS187" s="18"/>
      <c r="BT187" s="18"/>
      <c r="BU187" s="18"/>
      <c r="BV187" s="18"/>
      <c r="BW187" s="18"/>
      <c r="CV187" s="18"/>
      <c r="CW187" s="18"/>
      <c r="CX187" s="18"/>
      <c r="CY187" s="18"/>
      <c r="CZ187" s="18"/>
      <c r="DA187" s="18"/>
      <c r="DB187" s="18"/>
      <c r="DC187" s="18"/>
      <c r="DD187" s="18"/>
      <c r="DE187" s="18"/>
      <c r="DF187" s="18"/>
      <c r="DG187" s="18"/>
      <c r="DH187" s="18"/>
      <c r="DI187" s="18"/>
      <c r="DJ187" s="18"/>
      <c r="DK187" s="18"/>
      <c r="DL187" s="18"/>
      <c r="DM187" s="18"/>
    </row>
    <row r="188" spans="1:117" x14ac:dyDescent="0.3">
      <c r="A188" s="140"/>
      <c r="B188" s="69"/>
      <c r="C188" s="69"/>
      <c r="D188" s="69"/>
      <c r="E188" s="69"/>
      <c r="F188" s="69"/>
      <c r="G188" s="69"/>
      <c r="H188" s="69"/>
      <c r="Z188" s="32"/>
      <c r="AI188" s="7"/>
      <c r="AJ188" s="7"/>
      <c r="AK188" s="7"/>
      <c r="AL188" s="7"/>
      <c r="AM188" s="7"/>
      <c r="AN188" s="7"/>
      <c r="AO188" s="7"/>
      <c r="AP188" s="7"/>
      <c r="AQ188" s="7"/>
      <c r="AR188" s="7"/>
      <c r="AS188" s="7"/>
      <c r="AT188" s="7"/>
      <c r="AU188" s="12"/>
      <c r="AV188" s="7"/>
      <c r="AW188" s="143"/>
      <c r="AX188" s="75"/>
      <c r="AY188" s="91"/>
      <c r="AZ188" s="91"/>
      <c r="BA188" s="91"/>
      <c r="BB188" s="75"/>
      <c r="BC188" s="75"/>
      <c r="BD188" s="75"/>
      <c r="BE188" s="75"/>
      <c r="BF188" s="75"/>
      <c r="BG188" s="75"/>
      <c r="BH188" s="91"/>
      <c r="BI188" s="75"/>
      <c r="BJ188" s="75"/>
      <c r="BK188" s="75"/>
      <c r="BL188" s="75"/>
      <c r="BM188" s="91"/>
      <c r="BN188" s="75"/>
      <c r="BO188" s="91"/>
      <c r="BP188" s="18"/>
      <c r="BQ188" s="18"/>
      <c r="BR188" s="18"/>
      <c r="BS188" s="18"/>
      <c r="BT188" s="18"/>
      <c r="BU188" s="18"/>
      <c r="BV188" s="18"/>
      <c r="BW188" s="18"/>
      <c r="CV188" s="18"/>
      <c r="CW188" s="18"/>
      <c r="CX188" s="18"/>
      <c r="CY188" s="18"/>
      <c r="CZ188" s="18"/>
      <c r="DA188" s="18"/>
      <c r="DB188" s="18"/>
      <c r="DC188" s="18"/>
      <c r="DD188" s="18"/>
      <c r="DE188" s="18"/>
      <c r="DF188" s="18"/>
      <c r="DG188" s="18"/>
      <c r="DH188" s="18"/>
      <c r="DI188" s="18"/>
      <c r="DJ188" s="18"/>
      <c r="DK188" s="18"/>
      <c r="DL188" s="18"/>
      <c r="DM188" s="18"/>
    </row>
    <row r="189" spans="1:117" x14ac:dyDescent="0.3">
      <c r="A189" s="140"/>
      <c r="B189" s="69"/>
      <c r="C189" s="69"/>
      <c r="D189" s="69"/>
      <c r="E189" s="69"/>
      <c r="F189" s="69"/>
      <c r="G189" s="69"/>
      <c r="H189" s="69"/>
      <c r="Z189" s="32"/>
      <c r="AI189" s="7"/>
      <c r="AJ189" s="7"/>
      <c r="AK189" s="7"/>
      <c r="AL189" s="7"/>
      <c r="AM189" s="7"/>
      <c r="AN189" s="7"/>
      <c r="AO189" s="7"/>
      <c r="AP189" s="7"/>
      <c r="AQ189" s="7"/>
      <c r="AR189" s="7"/>
      <c r="AS189" s="7"/>
      <c r="AT189" s="7"/>
      <c r="AU189" s="12"/>
      <c r="AV189" s="7"/>
      <c r="AW189" s="143"/>
      <c r="AX189" s="75"/>
      <c r="AY189" s="91"/>
      <c r="AZ189" s="91"/>
      <c r="BA189" s="75"/>
      <c r="BB189" s="75"/>
      <c r="BC189" s="75"/>
      <c r="BD189" s="75"/>
      <c r="BE189" s="75"/>
      <c r="BF189" s="75"/>
      <c r="BG189" s="75"/>
      <c r="BH189" s="91"/>
      <c r="BI189" s="75"/>
      <c r="BJ189" s="75"/>
      <c r="BK189" s="75"/>
      <c r="BL189" s="75"/>
      <c r="BM189" s="91"/>
      <c r="BN189" s="75"/>
      <c r="BO189" s="91"/>
      <c r="BP189" s="18"/>
      <c r="BQ189" s="18"/>
      <c r="BR189" s="18"/>
      <c r="BS189" s="18"/>
      <c r="BT189" s="18"/>
      <c r="BU189" s="18"/>
      <c r="BV189" s="18"/>
      <c r="BW189" s="18"/>
      <c r="CV189" s="18"/>
      <c r="CW189" s="18"/>
      <c r="CX189" s="18"/>
      <c r="CY189" s="18"/>
      <c r="CZ189" s="18"/>
      <c r="DA189" s="18"/>
      <c r="DB189" s="18"/>
      <c r="DC189" s="18"/>
      <c r="DD189" s="18"/>
      <c r="DE189" s="18"/>
      <c r="DF189" s="18"/>
      <c r="DG189" s="18"/>
      <c r="DH189" s="18"/>
      <c r="DI189" s="18"/>
      <c r="DJ189" s="18"/>
      <c r="DK189" s="18"/>
      <c r="DL189" s="18"/>
      <c r="DM189" s="18"/>
    </row>
    <row r="190" spans="1:117" x14ac:dyDescent="0.3">
      <c r="A190" s="140"/>
      <c r="B190" s="69"/>
      <c r="C190" s="69"/>
      <c r="D190" s="69"/>
      <c r="E190" s="69"/>
      <c r="F190" s="69"/>
      <c r="G190" s="69"/>
      <c r="H190" s="69"/>
      <c r="Z190" s="32"/>
      <c r="AI190" s="7"/>
      <c r="AJ190" s="7"/>
      <c r="AK190" s="7"/>
      <c r="AL190" s="7"/>
      <c r="AM190" s="7"/>
      <c r="AN190" s="7"/>
      <c r="AO190" s="7"/>
      <c r="AP190" s="7"/>
      <c r="AQ190" s="7"/>
      <c r="AR190" s="7"/>
      <c r="AS190" s="7"/>
      <c r="AT190" s="7"/>
      <c r="AU190" s="12"/>
      <c r="AV190" s="7"/>
      <c r="AW190" s="143"/>
      <c r="AX190" s="75"/>
      <c r="AY190" s="91"/>
      <c r="AZ190" s="91"/>
      <c r="BA190" s="75"/>
      <c r="BB190" s="75"/>
      <c r="BC190" s="75"/>
      <c r="BD190" s="75"/>
      <c r="BE190" s="75"/>
      <c r="BF190" s="75"/>
      <c r="BG190" s="75"/>
      <c r="BH190" s="91"/>
      <c r="BI190" s="75"/>
      <c r="BJ190" s="75"/>
      <c r="BK190" s="75"/>
      <c r="BL190" s="75"/>
      <c r="BM190" s="91"/>
      <c r="BN190" s="75"/>
      <c r="BO190" s="91"/>
      <c r="BP190" s="18"/>
      <c r="BQ190" s="18"/>
      <c r="BR190" s="18"/>
      <c r="BS190" s="18"/>
      <c r="BT190" s="18"/>
      <c r="BU190" s="18"/>
      <c r="BV190" s="18"/>
      <c r="BW190" s="18"/>
      <c r="CV190" s="18"/>
      <c r="CW190" s="18"/>
      <c r="CX190" s="18"/>
      <c r="CY190" s="18"/>
      <c r="CZ190" s="18"/>
      <c r="DA190" s="18"/>
      <c r="DB190" s="18"/>
      <c r="DC190" s="18"/>
      <c r="DD190" s="18"/>
      <c r="DE190" s="18"/>
      <c r="DF190" s="18"/>
      <c r="DG190" s="18"/>
      <c r="DH190" s="18"/>
      <c r="DI190" s="18"/>
      <c r="DJ190" s="18"/>
      <c r="DK190" s="18"/>
      <c r="DL190" s="18"/>
      <c r="DM190" s="18"/>
    </row>
    <row r="191" spans="1:117" x14ac:dyDescent="0.3">
      <c r="A191" s="140"/>
      <c r="B191" s="69"/>
      <c r="C191" s="69"/>
      <c r="D191" s="69"/>
      <c r="E191" s="69"/>
      <c r="F191" s="69"/>
      <c r="G191" s="69"/>
      <c r="H191" s="69"/>
      <c r="Z191" s="32"/>
      <c r="AI191" s="7"/>
      <c r="AJ191" s="7"/>
      <c r="AK191" s="7"/>
      <c r="AL191" s="7"/>
      <c r="AM191" s="7"/>
      <c r="AN191" s="7"/>
      <c r="AO191" s="7"/>
      <c r="AP191" s="7"/>
      <c r="AQ191" s="7"/>
      <c r="AR191" s="7"/>
      <c r="AS191" s="7"/>
      <c r="AT191" s="7"/>
      <c r="AU191" s="12"/>
      <c r="AV191" s="7"/>
      <c r="AW191" s="143"/>
      <c r="AX191" s="75"/>
      <c r="AY191" s="91"/>
      <c r="AZ191" s="91"/>
      <c r="BA191" s="75"/>
      <c r="BB191" s="75"/>
      <c r="BC191" s="75"/>
      <c r="BD191" s="75"/>
      <c r="BE191" s="75"/>
      <c r="BF191" s="75"/>
      <c r="BG191" s="75"/>
      <c r="BH191" s="91"/>
      <c r="BI191" s="75"/>
      <c r="BJ191" s="75"/>
      <c r="BK191" s="75"/>
      <c r="BL191" s="75"/>
      <c r="BM191" s="91"/>
      <c r="BN191" s="75"/>
      <c r="BO191" s="91"/>
      <c r="BP191" s="18"/>
      <c r="BQ191" s="18"/>
      <c r="BR191" s="18"/>
      <c r="BS191" s="18"/>
      <c r="BT191" s="18"/>
      <c r="BU191" s="18"/>
      <c r="BV191" s="18"/>
      <c r="BW191" s="18"/>
      <c r="CV191" s="18"/>
      <c r="CW191" s="18"/>
      <c r="CX191" s="18"/>
      <c r="CY191" s="18"/>
      <c r="CZ191" s="18"/>
      <c r="DA191" s="18"/>
      <c r="DB191" s="18"/>
      <c r="DC191" s="18"/>
      <c r="DD191" s="18"/>
      <c r="DE191" s="18"/>
      <c r="DF191" s="18"/>
      <c r="DG191" s="18"/>
      <c r="DH191" s="18"/>
      <c r="DI191" s="18"/>
      <c r="DJ191" s="18"/>
      <c r="DK191" s="18"/>
      <c r="DL191" s="18"/>
      <c r="DM191" s="18"/>
    </row>
    <row r="192" spans="1:117" x14ac:dyDescent="0.3">
      <c r="A192" s="140"/>
      <c r="B192" s="69"/>
      <c r="C192" s="69"/>
      <c r="D192" s="69"/>
      <c r="E192" s="69"/>
      <c r="F192" s="69"/>
      <c r="G192" s="69"/>
      <c r="H192" s="69"/>
      <c r="Z192" s="32"/>
      <c r="AI192" s="7"/>
      <c r="AJ192" s="7"/>
      <c r="AK192" s="7"/>
      <c r="AL192" s="7"/>
      <c r="AM192" s="7"/>
      <c r="AN192" s="7"/>
      <c r="AO192" s="7"/>
      <c r="AP192" s="7"/>
      <c r="AQ192" s="7"/>
      <c r="AR192" s="7"/>
      <c r="AS192" s="7"/>
      <c r="AT192" s="7"/>
      <c r="AU192" s="12"/>
      <c r="AV192" s="7"/>
      <c r="AW192" s="143"/>
      <c r="AX192" s="75"/>
      <c r="AY192" s="91"/>
      <c r="AZ192" s="91"/>
      <c r="BA192" s="75"/>
      <c r="BB192" s="75"/>
      <c r="BC192" s="75"/>
      <c r="BD192" s="75"/>
      <c r="BE192" s="75"/>
      <c r="BF192" s="75"/>
      <c r="BG192" s="75"/>
      <c r="BH192" s="91"/>
      <c r="BI192" s="75"/>
      <c r="BJ192" s="75"/>
      <c r="BK192" s="75"/>
      <c r="BL192" s="75"/>
      <c r="BM192" s="91"/>
      <c r="BN192" s="75"/>
      <c r="BO192" s="91"/>
      <c r="BP192" s="18"/>
      <c r="BQ192" s="18"/>
      <c r="BR192" s="18"/>
      <c r="BS192" s="18"/>
      <c r="BT192" s="18"/>
      <c r="BU192" s="18"/>
      <c r="BV192" s="18"/>
      <c r="BW192" s="18"/>
      <c r="CV192" s="18"/>
      <c r="CW192" s="18"/>
      <c r="CX192" s="18"/>
      <c r="CY192" s="18"/>
      <c r="CZ192" s="18"/>
      <c r="DA192" s="18"/>
      <c r="DB192" s="18"/>
      <c r="DC192" s="18"/>
      <c r="DD192" s="18"/>
      <c r="DE192" s="18"/>
      <c r="DF192" s="18"/>
      <c r="DG192" s="18"/>
      <c r="DH192" s="18"/>
      <c r="DI192" s="18"/>
      <c r="DJ192" s="18"/>
      <c r="DK192" s="18"/>
      <c r="DL192" s="18"/>
      <c r="DM192" s="18"/>
    </row>
    <row r="193" spans="1:117" x14ac:dyDescent="0.3">
      <c r="A193" s="140"/>
      <c r="B193" s="69"/>
      <c r="C193" s="69"/>
      <c r="D193" s="69"/>
      <c r="E193" s="69"/>
      <c r="F193" s="69"/>
      <c r="G193" s="69"/>
      <c r="H193" s="69"/>
      <c r="Z193" s="32"/>
      <c r="AI193" s="7"/>
      <c r="AJ193" s="7"/>
      <c r="AK193" s="7"/>
      <c r="AL193" s="7"/>
      <c r="AM193" s="7"/>
      <c r="AN193" s="7"/>
      <c r="AO193" s="7"/>
      <c r="AP193" s="7"/>
      <c r="AQ193" s="7"/>
      <c r="AR193" s="7"/>
      <c r="AS193" s="7"/>
      <c r="AT193" s="7"/>
      <c r="AU193" s="12"/>
      <c r="AV193" s="7"/>
      <c r="AW193" s="143"/>
      <c r="AX193" s="75"/>
      <c r="AY193" s="91"/>
      <c r="AZ193" s="91"/>
      <c r="BA193" s="75"/>
      <c r="BB193" s="75"/>
      <c r="BC193" s="75"/>
      <c r="BD193" s="75"/>
      <c r="BE193" s="75"/>
      <c r="BF193" s="75"/>
      <c r="BG193" s="75"/>
      <c r="BH193" s="91"/>
      <c r="BI193" s="75"/>
      <c r="BJ193" s="75"/>
      <c r="BK193" s="75"/>
      <c r="BL193" s="75"/>
      <c r="BM193" s="91"/>
      <c r="BN193" s="75"/>
      <c r="BO193" s="91"/>
      <c r="BP193" s="18"/>
      <c r="BQ193" s="18"/>
      <c r="BR193" s="18"/>
      <c r="BS193" s="18"/>
      <c r="BT193" s="18"/>
      <c r="BU193" s="18"/>
      <c r="BV193" s="18"/>
      <c r="BW193" s="18"/>
      <c r="CV193" s="18"/>
      <c r="CW193" s="18"/>
      <c r="CX193" s="18"/>
      <c r="CY193" s="18"/>
      <c r="CZ193" s="18"/>
      <c r="DA193" s="18"/>
      <c r="DB193" s="18"/>
      <c r="DC193" s="18"/>
      <c r="DD193" s="18"/>
      <c r="DE193" s="18"/>
      <c r="DF193" s="18"/>
      <c r="DG193" s="18"/>
      <c r="DH193" s="18"/>
      <c r="DI193" s="18"/>
      <c r="DJ193" s="18"/>
      <c r="DK193" s="18"/>
      <c r="DL193" s="18"/>
      <c r="DM193" s="18"/>
    </row>
    <row r="194" spans="1:117" x14ac:dyDescent="0.3">
      <c r="A194" s="140"/>
      <c r="B194" s="69"/>
      <c r="C194" s="69"/>
      <c r="D194" s="69"/>
      <c r="E194" s="69"/>
      <c r="F194" s="69"/>
      <c r="G194" s="69"/>
      <c r="H194" s="69"/>
      <c r="Z194" s="32"/>
      <c r="AI194" s="7"/>
      <c r="AJ194" s="7"/>
      <c r="AK194" s="7"/>
      <c r="AL194" s="7"/>
      <c r="AM194" s="7"/>
      <c r="AN194" s="7"/>
      <c r="AO194" s="7"/>
      <c r="AP194" s="7"/>
      <c r="AQ194" s="7"/>
      <c r="AR194" s="7"/>
      <c r="AS194" s="7"/>
      <c r="AT194" s="7"/>
      <c r="AU194" s="12"/>
      <c r="AV194" s="7"/>
      <c r="AW194" s="143"/>
      <c r="AX194" s="75"/>
      <c r="AY194" s="91"/>
      <c r="AZ194" s="91"/>
      <c r="BA194" s="75"/>
      <c r="BB194" s="75"/>
      <c r="BC194" s="75"/>
      <c r="BD194" s="75"/>
      <c r="BE194" s="75"/>
      <c r="BF194" s="75"/>
      <c r="BG194" s="75"/>
      <c r="BH194" s="91"/>
      <c r="BI194" s="75"/>
      <c r="BJ194" s="75"/>
      <c r="BK194" s="75"/>
      <c r="BL194" s="75"/>
      <c r="BM194" s="91"/>
      <c r="BN194" s="75"/>
      <c r="BO194" s="91"/>
      <c r="BP194" s="18"/>
      <c r="BQ194" s="18"/>
      <c r="BR194" s="18"/>
      <c r="BS194" s="18"/>
      <c r="BT194" s="18"/>
      <c r="BU194" s="18"/>
      <c r="BV194" s="18"/>
      <c r="BW194" s="18"/>
      <c r="CV194" s="18"/>
      <c r="CW194" s="18"/>
      <c r="CX194" s="18"/>
      <c r="CY194" s="18"/>
      <c r="CZ194" s="18"/>
      <c r="DA194" s="18"/>
      <c r="DB194" s="18"/>
      <c r="DC194" s="18"/>
      <c r="DD194" s="18"/>
      <c r="DE194" s="18"/>
      <c r="DF194" s="18"/>
      <c r="DG194" s="18"/>
      <c r="DH194" s="18"/>
      <c r="DI194" s="18"/>
      <c r="DJ194" s="18"/>
      <c r="DK194" s="18"/>
      <c r="DL194" s="18"/>
      <c r="DM194" s="18"/>
    </row>
    <row r="195" spans="1:117" x14ac:dyDescent="0.3">
      <c r="A195" s="140"/>
      <c r="B195" s="69"/>
      <c r="C195" s="69"/>
      <c r="D195" s="69"/>
      <c r="E195" s="69"/>
      <c r="F195" s="69"/>
      <c r="G195" s="69"/>
      <c r="H195" s="69"/>
      <c r="Z195" s="32"/>
      <c r="AI195" s="7"/>
      <c r="AJ195" s="7"/>
      <c r="AK195" s="7"/>
      <c r="AL195" s="7"/>
      <c r="AM195" s="7"/>
      <c r="AN195" s="7"/>
      <c r="AO195" s="7"/>
      <c r="AP195" s="7"/>
      <c r="AQ195" s="7"/>
      <c r="AR195" s="7"/>
      <c r="AS195" s="7"/>
      <c r="AT195" s="7"/>
      <c r="AU195" s="12"/>
      <c r="AV195" s="7"/>
      <c r="AW195" s="143"/>
      <c r="AX195" s="75"/>
      <c r="AY195" s="91"/>
      <c r="AZ195" s="91"/>
      <c r="BA195" s="75"/>
      <c r="BB195" s="75"/>
      <c r="BC195" s="75"/>
      <c r="BD195" s="75"/>
      <c r="BE195" s="75"/>
      <c r="BF195" s="75"/>
      <c r="BG195" s="75"/>
      <c r="BH195" s="91"/>
      <c r="BI195" s="75"/>
      <c r="BJ195" s="75"/>
      <c r="BK195" s="75"/>
      <c r="BL195" s="75"/>
      <c r="BM195" s="91"/>
      <c r="BN195" s="75"/>
      <c r="BO195" s="91"/>
      <c r="BP195" s="18"/>
      <c r="BQ195" s="18"/>
      <c r="BR195" s="18"/>
      <c r="BS195" s="18"/>
      <c r="BT195" s="18"/>
      <c r="BU195" s="18"/>
      <c r="BV195" s="18"/>
      <c r="BW195" s="18"/>
      <c r="CV195" s="18"/>
      <c r="CW195" s="18"/>
      <c r="CX195" s="18"/>
      <c r="CY195" s="18"/>
      <c r="CZ195" s="18"/>
      <c r="DA195" s="18"/>
      <c r="DB195" s="18"/>
      <c r="DC195" s="18"/>
      <c r="DD195" s="18"/>
      <c r="DE195" s="18"/>
      <c r="DF195" s="18"/>
      <c r="DG195" s="18"/>
      <c r="DH195" s="18"/>
      <c r="DI195" s="18"/>
      <c r="DJ195" s="18"/>
      <c r="DK195" s="18"/>
      <c r="DL195" s="18"/>
      <c r="DM195" s="18"/>
    </row>
    <row r="196" spans="1:117" x14ac:dyDescent="0.3">
      <c r="A196" s="140"/>
      <c r="B196" s="69"/>
      <c r="C196" s="69"/>
      <c r="D196" s="69"/>
      <c r="E196" s="69"/>
      <c r="F196" s="69"/>
      <c r="G196" s="69"/>
      <c r="H196" s="69"/>
      <c r="Z196" s="32"/>
      <c r="AI196" s="7"/>
      <c r="AJ196" s="7"/>
      <c r="AK196" s="7"/>
      <c r="AL196" s="7"/>
      <c r="AM196" s="7"/>
      <c r="AN196" s="7"/>
      <c r="AO196" s="7"/>
      <c r="AP196" s="7"/>
      <c r="AQ196" s="7"/>
      <c r="AR196" s="7"/>
      <c r="AS196" s="7"/>
      <c r="AT196" s="7"/>
      <c r="AU196" s="12"/>
      <c r="AV196" s="7"/>
      <c r="AW196" s="143"/>
      <c r="AX196" s="75"/>
      <c r="AY196" s="91"/>
      <c r="AZ196" s="91"/>
      <c r="BA196" s="75"/>
      <c r="BB196" s="75"/>
      <c r="BC196" s="75"/>
      <c r="BD196" s="75"/>
      <c r="BE196" s="75"/>
      <c r="BF196" s="75"/>
      <c r="BG196" s="75"/>
      <c r="BH196" s="91"/>
      <c r="BI196" s="75"/>
      <c r="BJ196" s="75"/>
      <c r="BK196" s="75"/>
      <c r="BL196" s="75"/>
      <c r="BM196" s="91"/>
      <c r="BN196" s="75"/>
      <c r="BO196" s="91"/>
      <c r="BP196" s="18"/>
      <c r="BQ196" s="18"/>
      <c r="BR196" s="18"/>
      <c r="BS196" s="18"/>
      <c r="BT196" s="18"/>
      <c r="BU196" s="18"/>
      <c r="BV196" s="18"/>
      <c r="BW196" s="18"/>
      <c r="CV196" s="18"/>
      <c r="CW196" s="18"/>
      <c r="CX196" s="18"/>
      <c r="CY196" s="18"/>
      <c r="CZ196" s="18"/>
      <c r="DA196" s="18"/>
      <c r="DB196" s="18"/>
      <c r="DC196" s="18"/>
      <c r="DD196" s="18"/>
      <c r="DE196" s="18"/>
      <c r="DF196" s="18"/>
      <c r="DG196" s="18"/>
      <c r="DH196" s="18"/>
      <c r="DI196" s="18"/>
      <c r="DJ196" s="18"/>
      <c r="DK196" s="18"/>
      <c r="DL196" s="18"/>
      <c r="DM196" s="18"/>
    </row>
    <row r="197" spans="1:117" x14ac:dyDescent="0.3">
      <c r="A197" s="140"/>
      <c r="B197" s="69"/>
      <c r="C197" s="69"/>
      <c r="D197" s="69"/>
      <c r="E197" s="69"/>
      <c r="F197" s="69"/>
      <c r="G197" s="69"/>
      <c r="H197" s="69"/>
      <c r="Z197" s="32"/>
      <c r="AI197" s="7"/>
      <c r="AJ197" s="7"/>
      <c r="AK197" s="7"/>
      <c r="AL197" s="7"/>
      <c r="AM197" s="7"/>
      <c r="AN197" s="7"/>
      <c r="AO197" s="7"/>
      <c r="AP197" s="7"/>
      <c r="AQ197" s="7"/>
      <c r="AR197" s="7"/>
      <c r="AS197" s="7"/>
      <c r="AT197" s="7"/>
      <c r="AU197" s="12"/>
      <c r="AV197" s="7"/>
      <c r="AW197" s="143"/>
      <c r="AX197" s="75"/>
      <c r="AY197" s="91"/>
      <c r="AZ197" s="91"/>
      <c r="BA197" s="75"/>
      <c r="BB197" s="75"/>
      <c r="BC197" s="75"/>
      <c r="BD197" s="75"/>
      <c r="BE197" s="75"/>
      <c r="BF197" s="75"/>
      <c r="BG197" s="75"/>
      <c r="BH197" s="91"/>
      <c r="BI197" s="75"/>
      <c r="BJ197" s="75"/>
      <c r="BK197" s="75"/>
      <c r="BL197" s="75"/>
      <c r="BM197" s="91"/>
      <c r="BN197" s="75"/>
      <c r="BO197" s="91"/>
      <c r="BP197" s="18"/>
      <c r="BQ197" s="18"/>
      <c r="BR197" s="18"/>
      <c r="BS197" s="18"/>
      <c r="BT197" s="18"/>
      <c r="BU197" s="18"/>
      <c r="BV197" s="18"/>
      <c r="BW197" s="18"/>
      <c r="CV197" s="18"/>
      <c r="CW197" s="18"/>
      <c r="CX197" s="18"/>
      <c r="CY197" s="18"/>
      <c r="CZ197" s="18"/>
      <c r="DA197" s="18"/>
      <c r="DB197" s="18"/>
      <c r="DC197" s="18"/>
      <c r="DD197" s="18"/>
      <c r="DE197" s="18"/>
      <c r="DF197" s="18"/>
      <c r="DG197" s="18"/>
      <c r="DH197" s="18"/>
      <c r="DI197" s="18"/>
      <c r="DJ197" s="18"/>
      <c r="DK197" s="18"/>
      <c r="DL197" s="18"/>
      <c r="DM197" s="18"/>
    </row>
    <row r="198" spans="1:117" x14ac:dyDescent="0.3">
      <c r="A198" s="140"/>
      <c r="B198" s="69"/>
      <c r="C198" s="69"/>
      <c r="D198" s="69"/>
      <c r="E198" s="69"/>
      <c r="F198" s="69"/>
      <c r="G198" s="69"/>
      <c r="H198" s="69"/>
      <c r="Z198" s="32"/>
      <c r="AI198" s="7"/>
      <c r="AJ198" s="7"/>
      <c r="AK198" s="7"/>
      <c r="AL198" s="7"/>
      <c r="AM198" s="7"/>
      <c r="AN198" s="7"/>
      <c r="AO198" s="7"/>
      <c r="AP198" s="7"/>
      <c r="AQ198" s="7"/>
      <c r="AR198" s="7"/>
      <c r="AS198" s="7"/>
      <c r="AT198" s="7"/>
      <c r="AU198" s="12"/>
      <c r="AV198" s="7"/>
      <c r="AW198" s="143"/>
      <c r="AX198" s="75"/>
      <c r="AY198" s="91"/>
      <c r="AZ198" s="91"/>
      <c r="BA198" s="75"/>
      <c r="BB198" s="75"/>
      <c r="BC198" s="75"/>
      <c r="BD198" s="75"/>
      <c r="BE198" s="75"/>
      <c r="BF198" s="75"/>
      <c r="BG198" s="75"/>
      <c r="BH198" s="91"/>
      <c r="BI198" s="75"/>
      <c r="BJ198" s="75"/>
      <c r="BK198" s="75"/>
      <c r="BL198" s="75"/>
      <c r="BM198" s="91"/>
      <c r="BN198" s="75"/>
      <c r="BO198" s="91"/>
      <c r="BP198" s="18"/>
      <c r="BQ198" s="18"/>
      <c r="BR198" s="18"/>
      <c r="BS198" s="18"/>
      <c r="BT198" s="18"/>
      <c r="BU198" s="18"/>
      <c r="BV198" s="18"/>
      <c r="BW198" s="18"/>
      <c r="CV198" s="18"/>
      <c r="CW198" s="18"/>
      <c r="CX198" s="18"/>
      <c r="CY198" s="18"/>
      <c r="CZ198" s="18"/>
      <c r="DA198" s="18"/>
      <c r="DB198" s="18"/>
      <c r="DC198" s="18"/>
      <c r="DD198" s="18"/>
      <c r="DE198" s="18"/>
      <c r="DF198" s="18"/>
      <c r="DG198" s="18"/>
      <c r="DH198" s="18"/>
      <c r="DI198" s="18"/>
      <c r="DJ198" s="18"/>
      <c r="DK198" s="18"/>
      <c r="DL198" s="18"/>
      <c r="DM198" s="18"/>
    </row>
    <row r="199" spans="1:117" x14ac:dyDescent="0.3">
      <c r="A199" s="140"/>
      <c r="B199" s="69"/>
      <c r="C199" s="69"/>
      <c r="D199" s="69"/>
      <c r="E199" s="69"/>
      <c r="F199" s="69"/>
      <c r="G199" s="69"/>
      <c r="H199" s="69"/>
      <c r="Z199" s="32"/>
      <c r="AI199" s="7"/>
      <c r="AJ199" s="7"/>
      <c r="AK199" s="7"/>
      <c r="AL199" s="7"/>
      <c r="AM199" s="7"/>
      <c r="AN199" s="7"/>
      <c r="AO199" s="7"/>
      <c r="AP199" s="7"/>
      <c r="AQ199" s="7"/>
      <c r="AR199" s="7"/>
      <c r="AS199" s="7"/>
      <c r="AT199" s="7"/>
      <c r="AU199" s="12"/>
      <c r="AV199" s="7"/>
      <c r="AW199" s="143"/>
      <c r="AX199" s="75"/>
      <c r="AY199" s="91"/>
      <c r="AZ199" s="91"/>
      <c r="BA199" s="75"/>
      <c r="BB199" s="75"/>
      <c r="BC199" s="75"/>
      <c r="BD199" s="75"/>
      <c r="BE199" s="75"/>
      <c r="BF199" s="75"/>
      <c r="BG199" s="75"/>
      <c r="BH199" s="91"/>
      <c r="BI199" s="75"/>
      <c r="BJ199" s="75"/>
      <c r="BK199" s="75"/>
      <c r="BL199" s="75"/>
      <c r="BM199" s="91"/>
      <c r="BN199" s="75"/>
      <c r="BO199" s="91"/>
      <c r="BP199" s="18"/>
      <c r="BQ199" s="18"/>
      <c r="BR199" s="18"/>
      <c r="BS199" s="18"/>
      <c r="BT199" s="18"/>
      <c r="BU199" s="18"/>
      <c r="BV199" s="18"/>
      <c r="BW199" s="18"/>
      <c r="CV199" s="18"/>
      <c r="CW199" s="18"/>
      <c r="CX199" s="18"/>
      <c r="CY199" s="18"/>
      <c r="CZ199" s="18"/>
      <c r="DA199" s="18"/>
      <c r="DB199" s="18"/>
      <c r="DC199" s="18"/>
      <c r="DD199" s="18"/>
      <c r="DE199" s="18"/>
      <c r="DF199" s="18"/>
      <c r="DG199" s="18"/>
      <c r="DH199" s="18"/>
      <c r="DI199" s="18"/>
      <c r="DJ199" s="18"/>
      <c r="DK199" s="18"/>
      <c r="DL199" s="18"/>
      <c r="DM199" s="18"/>
    </row>
    <row r="200" spans="1:117" x14ac:dyDescent="0.3">
      <c r="A200" s="140"/>
      <c r="B200" s="69"/>
      <c r="C200" s="69"/>
      <c r="D200" s="69"/>
      <c r="E200" s="69"/>
      <c r="F200" s="69"/>
      <c r="G200" s="69"/>
      <c r="H200" s="69"/>
      <c r="Z200" s="32"/>
      <c r="AI200" s="7"/>
      <c r="AJ200" s="7"/>
      <c r="AK200" s="7"/>
      <c r="AL200" s="7"/>
      <c r="AM200" s="7"/>
      <c r="AN200" s="7"/>
      <c r="AO200" s="7"/>
      <c r="AP200" s="7"/>
      <c r="AQ200" s="7"/>
      <c r="AR200" s="7"/>
      <c r="AS200" s="7"/>
      <c r="AT200" s="7"/>
      <c r="AU200" s="12"/>
      <c r="AV200" s="7"/>
      <c r="AW200" s="143"/>
      <c r="AX200" s="75"/>
      <c r="AY200" s="91"/>
      <c r="AZ200" s="91"/>
      <c r="BA200" s="75"/>
      <c r="BB200" s="75"/>
      <c r="BC200" s="75"/>
      <c r="BD200" s="75"/>
      <c r="BE200" s="75"/>
      <c r="BF200" s="75"/>
      <c r="BG200" s="75"/>
      <c r="BH200" s="91"/>
      <c r="BI200" s="75"/>
      <c r="BJ200" s="75"/>
      <c r="BK200" s="75"/>
      <c r="BL200" s="75"/>
      <c r="BM200" s="91"/>
      <c r="BN200" s="75"/>
      <c r="BO200" s="91"/>
      <c r="BP200" s="18"/>
      <c r="BQ200" s="18"/>
      <c r="BR200" s="18"/>
      <c r="BS200" s="18"/>
      <c r="BT200" s="18"/>
      <c r="BU200" s="18"/>
      <c r="BV200" s="18"/>
      <c r="BW200" s="18"/>
      <c r="CV200" s="18"/>
      <c r="CW200" s="18"/>
      <c r="CX200" s="18"/>
      <c r="CY200" s="18"/>
      <c r="CZ200" s="18"/>
      <c r="DA200" s="18"/>
      <c r="DB200" s="18"/>
      <c r="DC200" s="18"/>
      <c r="DD200" s="18"/>
      <c r="DE200" s="18"/>
      <c r="DF200" s="18"/>
      <c r="DG200" s="18"/>
      <c r="DH200" s="18"/>
      <c r="DI200" s="18"/>
      <c r="DJ200" s="18"/>
      <c r="DK200" s="18"/>
      <c r="DL200" s="18"/>
      <c r="DM200" s="18"/>
    </row>
    <row r="201" spans="1:117" x14ac:dyDescent="0.3">
      <c r="A201" s="140"/>
      <c r="B201" s="69"/>
      <c r="C201" s="69"/>
      <c r="D201" s="69"/>
      <c r="E201" s="69"/>
      <c r="F201" s="69"/>
      <c r="G201" s="69"/>
      <c r="H201" s="69"/>
      <c r="Z201" s="32"/>
      <c r="AI201" s="7"/>
      <c r="AJ201" s="7"/>
      <c r="AK201" s="7"/>
      <c r="AL201" s="7"/>
      <c r="AM201" s="7"/>
      <c r="AN201" s="7"/>
      <c r="AO201" s="7"/>
      <c r="AP201" s="7"/>
      <c r="AQ201" s="7"/>
      <c r="AR201" s="7"/>
      <c r="AS201" s="7"/>
      <c r="AT201" s="7"/>
      <c r="AU201" s="12"/>
      <c r="AV201" s="7"/>
      <c r="AW201" s="143"/>
      <c r="AX201" s="75"/>
      <c r="AY201" s="91"/>
      <c r="AZ201" s="91"/>
      <c r="BA201" s="75"/>
      <c r="BB201" s="75"/>
      <c r="BC201" s="75"/>
      <c r="BD201" s="75"/>
      <c r="BE201" s="75"/>
      <c r="BF201" s="75"/>
      <c r="BG201" s="75"/>
      <c r="BH201" s="91"/>
      <c r="BI201" s="75"/>
      <c r="BJ201" s="75"/>
      <c r="BK201" s="75"/>
      <c r="BL201" s="75"/>
      <c r="BM201" s="91"/>
      <c r="BN201" s="75"/>
      <c r="BO201" s="91"/>
      <c r="BP201" s="18"/>
      <c r="BQ201" s="18"/>
      <c r="BR201" s="18"/>
      <c r="BS201" s="18"/>
      <c r="BT201" s="18"/>
      <c r="BU201" s="18"/>
      <c r="BV201" s="18"/>
      <c r="BW201" s="18"/>
      <c r="CV201" s="18"/>
      <c r="CW201" s="18"/>
      <c r="CX201" s="18"/>
      <c r="CY201" s="18"/>
      <c r="CZ201" s="18"/>
      <c r="DA201" s="18"/>
      <c r="DB201" s="18"/>
      <c r="DC201" s="18"/>
      <c r="DD201" s="18"/>
      <c r="DE201" s="18"/>
      <c r="DF201" s="18"/>
      <c r="DG201" s="18"/>
      <c r="DH201" s="18"/>
      <c r="DI201" s="18"/>
      <c r="DJ201" s="18"/>
      <c r="DK201" s="18"/>
      <c r="DL201" s="18"/>
      <c r="DM201" s="18"/>
    </row>
    <row r="202" spans="1:117" x14ac:dyDescent="0.3">
      <c r="A202" s="140"/>
      <c r="B202" s="69"/>
      <c r="C202" s="69"/>
      <c r="D202" s="69"/>
      <c r="E202" s="69"/>
      <c r="F202" s="69"/>
      <c r="G202" s="69"/>
      <c r="H202" s="69"/>
      <c r="Z202" s="32"/>
      <c r="AI202" s="7"/>
      <c r="AJ202" s="7"/>
      <c r="AK202" s="7"/>
      <c r="AL202" s="7"/>
      <c r="AM202" s="7"/>
      <c r="AN202" s="7"/>
      <c r="AO202" s="7"/>
      <c r="AP202" s="7"/>
      <c r="AQ202" s="7"/>
      <c r="AR202" s="7"/>
      <c r="AS202" s="7"/>
      <c r="AT202" s="7"/>
      <c r="AU202" s="12"/>
      <c r="AV202" s="7"/>
      <c r="AW202" s="143"/>
      <c r="AX202" s="75"/>
      <c r="AY202" s="91"/>
      <c r="AZ202" s="91"/>
      <c r="BA202" s="75"/>
      <c r="BB202" s="75"/>
      <c r="BC202" s="75"/>
      <c r="BD202" s="75"/>
      <c r="BE202" s="75"/>
      <c r="BF202" s="75"/>
      <c r="BG202" s="75"/>
      <c r="BH202" s="91"/>
      <c r="BI202" s="75"/>
      <c r="BJ202" s="75"/>
      <c r="BK202" s="75"/>
      <c r="BL202" s="75"/>
      <c r="BM202" s="91"/>
      <c r="BN202" s="75"/>
      <c r="BO202" s="91"/>
      <c r="BP202" s="18"/>
      <c r="BQ202" s="18"/>
      <c r="BR202" s="18"/>
      <c r="BS202" s="18"/>
      <c r="BT202" s="18"/>
      <c r="BU202" s="18"/>
      <c r="BV202" s="18"/>
      <c r="BW202" s="18"/>
      <c r="CV202" s="18"/>
      <c r="CW202" s="18"/>
      <c r="CX202" s="18"/>
      <c r="CY202" s="18"/>
      <c r="CZ202" s="18"/>
      <c r="DA202" s="18"/>
      <c r="DB202" s="18"/>
      <c r="DC202" s="18"/>
      <c r="DD202" s="18"/>
      <c r="DE202" s="18"/>
      <c r="DF202" s="18"/>
      <c r="DG202" s="18"/>
      <c r="DH202" s="18"/>
      <c r="DI202" s="18"/>
      <c r="DJ202" s="18"/>
      <c r="DK202" s="18"/>
      <c r="DL202" s="18"/>
      <c r="DM202" s="18"/>
    </row>
    <row r="203" spans="1:117" x14ac:dyDescent="0.3">
      <c r="A203" s="140"/>
      <c r="B203" s="69"/>
      <c r="C203" s="69"/>
      <c r="D203" s="69"/>
      <c r="E203" s="69"/>
      <c r="F203" s="69"/>
      <c r="G203" s="69"/>
      <c r="H203" s="69"/>
      <c r="Z203" s="32"/>
      <c r="AI203" s="7"/>
      <c r="AJ203" s="7"/>
      <c r="AK203" s="7"/>
      <c r="AL203" s="7"/>
      <c r="AM203" s="7"/>
      <c r="AN203" s="7"/>
      <c r="AO203" s="7"/>
      <c r="AP203" s="7"/>
      <c r="AQ203" s="7"/>
      <c r="AR203" s="7"/>
      <c r="AS203" s="7"/>
      <c r="AT203" s="7"/>
      <c r="AU203" s="12"/>
      <c r="AV203" s="7"/>
      <c r="AW203" s="143"/>
      <c r="AX203" s="75"/>
      <c r="AY203" s="91"/>
      <c r="AZ203" s="91"/>
      <c r="BA203" s="75"/>
      <c r="BB203" s="75"/>
      <c r="BC203" s="75"/>
      <c r="BD203" s="75"/>
      <c r="BE203" s="75"/>
      <c r="BF203" s="75"/>
      <c r="BG203" s="75"/>
      <c r="BH203" s="91"/>
      <c r="BI203" s="75"/>
      <c r="BJ203" s="75"/>
      <c r="BK203" s="75"/>
      <c r="BL203" s="75"/>
      <c r="BM203" s="91"/>
      <c r="BN203" s="75"/>
      <c r="BO203" s="91"/>
      <c r="BP203" s="18"/>
      <c r="BQ203" s="18"/>
      <c r="BR203" s="18"/>
      <c r="BS203" s="18"/>
      <c r="BT203" s="18"/>
      <c r="BU203" s="18"/>
      <c r="BV203" s="18"/>
      <c r="BW203" s="18"/>
      <c r="CV203" s="18"/>
      <c r="CW203" s="18"/>
      <c r="CX203" s="18"/>
      <c r="CY203" s="18"/>
      <c r="CZ203" s="18"/>
      <c r="DA203" s="18"/>
      <c r="DB203" s="18"/>
      <c r="DC203" s="18"/>
      <c r="DD203" s="18"/>
      <c r="DE203" s="18"/>
      <c r="DF203" s="18"/>
      <c r="DG203" s="18"/>
      <c r="DH203" s="18"/>
      <c r="DI203" s="18"/>
      <c r="DJ203" s="18"/>
      <c r="DK203" s="18"/>
      <c r="DL203" s="18"/>
      <c r="DM203" s="18"/>
    </row>
    <row r="204" spans="1:117" x14ac:dyDescent="0.3">
      <c r="A204" s="140"/>
      <c r="B204" s="69"/>
      <c r="C204" s="69"/>
      <c r="D204" s="69"/>
      <c r="E204" s="69"/>
      <c r="F204" s="69"/>
      <c r="G204" s="69"/>
      <c r="H204" s="69"/>
      <c r="Z204" s="32"/>
      <c r="AI204" s="7"/>
      <c r="AJ204" s="7"/>
      <c r="AK204" s="7"/>
      <c r="AL204" s="7"/>
      <c r="AM204" s="7"/>
      <c r="AN204" s="7"/>
      <c r="AO204" s="7"/>
      <c r="AP204" s="7"/>
      <c r="AQ204" s="7"/>
      <c r="AR204" s="7"/>
      <c r="AS204" s="7"/>
      <c r="AT204" s="7"/>
      <c r="AU204" s="12"/>
      <c r="AV204" s="7"/>
      <c r="AW204" s="143"/>
      <c r="AX204" s="75"/>
      <c r="AY204" s="91"/>
      <c r="AZ204" s="91"/>
      <c r="BA204" s="75"/>
      <c r="BB204" s="75"/>
      <c r="BC204" s="75"/>
      <c r="BD204" s="75"/>
      <c r="BE204" s="75"/>
      <c r="BF204" s="75"/>
      <c r="BG204" s="75"/>
      <c r="BH204" s="91"/>
      <c r="BI204" s="75"/>
      <c r="BJ204" s="75"/>
      <c r="BK204" s="75"/>
      <c r="BL204" s="75"/>
      <c r="BM204" s="91"/>
      <c r="BN204" s="75"/>
      <c r="BO204" s="91"/>
      <c r="BP204" s="18"/>
      <c r="BQ204" s="18"/>
      <c r="BR204" s="18"/>
      <c r="BS204" s="18"/>
      <c r="BT204" s="18"/>
      <c r="BU204" s="18"/>
      <c r="BV204" s="18"/>
      <c r="BW204" s="18"/>
      <c r="CV204" s="18"/>
      <c r="CW204" s="18"/>
      <c r="CX204" s="18"/>
      <c r="CY204" s="18"/>
      <c r="CZ204" s="18"/>
      <c r="DA204" s="18"/>
      <c r="DB204" s="18"/>
      <c r="DC204" s="18"/>
      <c r="DD204" s="18"/>
      <c r="DE204" s="18"/>
      <c r="DF204" s="18"/>
      <c r="DG204" s="18"/>
      <c r="DH204" s="18"/>
      <c r="DI204" s="18"/>
      <c r="DJ204" s="18"/>
      <c r="DK204" s="18"/>
      <c r="DL204" s="18"/>
      <c r="DM204" s="18"/>
    </row>
    <row r="205" spans="1:117" x14ac:dyDescent="0.3">
      <c r="A205" s="140"/>
      <c r="B205" s="69"/>
      <c r="C205" s="69"/>
      <c r="D205" s="69"/>
      <c r="E205" s="69"/>
      <c r="F205" s="69"/>
      <c r="G205" s="69"/>
      <c r="H205" s="69"/>
      <c r="Z205" s="32"/>
      <c r="AI205" s="7"/>
      <c r="AJ205" s="7"/>
      <c r="AK205" s="7"/>
      <c r="AL205" s="7"/>
      <c r="AM205" s="7"/>
      <c r="AN205" s="7"/>
      <c r="AO205" s="7"/>
      <c r="AP205" s="7"/>
      <c r="AQ205" s="7"/>
      <c r="AR205" s="7"/>
      <c r="AS205" s="7"/>
      <c r="AT205" s="7"/>
      <c r="AU205" s="12"/>
      <c r="AV205" s="7"/>
      <c r="AW205" s="143"/>
      <c r="AX205" s="75"/>
      <c r="AY205" s="91"/>
      <c r="AZ205" s="91"/>
      <c r="BA205" s="75"/>
      <c r="BB205" s="75"/>
      <c r="BC205" s="75"/>
      <c r="BD205" s="75"/>
      <c r="BE205" s="75"/>
      <c r="BF205" s="75"/>
      <c r="BG205" s="75"/>
      <c r="BH205" s="91"/>
      <c r="BI205" s="75"/>
      <c r="BJ205" s="75"/>
      <c r="BK205" s="75"/>
      <c r="BL205" s="75"/>
      <c r="BM205" s="91"/>
      <c r="BN205" s="75"/>
      <c r="BO205" s="91"/>
      <c r="BP205" s="18"/>
      <c r="BQ205" s="18"/>
      <c r="BR205" s="18"/>
      <c r="BS205" s="18"/>
      <c r="BT205" s="18"/>
      <c r="BU205" s="18"/>
      <c r="BV205" s="18"/>
      <c r="BW205" s="18"/>
      <c r="CV205" s="18"/>
      <c r="CW205" s="18"/>
      <c r="CX205" s="18"/>
      <c r="CY205" s="18"/>
      <c r="CZ205" s="18"/>
      <c r="DA205" s="18"/>
      <c r="DB205" s="18"/>
      <c r="DC205" s="18"/>
      <c r="DD205" s="18"/>
      <c r="DE205" s="18"/>
      <c r="DF205" s="18"/>
      <c r="DG205" s="18"/>
      <c r="DH205" s="18"/>
      <c r="DI205" s="18"/>
      <c r="DJ205" s="18"/>
      <c r="DK205" s="18"/>
      <c r="DL205" s="18"/>
      <c r="DM205" s="18"/>
    </row>
    <row r="206" spans="1:117" x14ac:dyDescent="0.3">
      <c r="A206" s="140"/>
      <c r="B206" s="69"/>
      <c r="C206" s="69"/>
      <c r="D206" s="69"/>
      <c r="E206" s="69"/>
      <c r="F206" s="69"/>
      <c r="G206" s="69"/>
      <c r="H206" s="69"/>
      <c r="Z206" s="32"/>
      <c r="AI206" s="7"/>
      <c r="AJ206" s="7"/>
      <c r="AK206" s="7"/>
      <c r="AL206" s="7"/>
      <c r="AM206" s="7"/>
      <c r="AN206" s="7"/>
      <c r="AO206" s="7"/>
      <c r="AP206" s="7"/>
      <c r="AQ206" s="7"/>
      <c r="AR206" s="7"/>
      <c r="AS206" s="7"/>
      <c r="AT206" s="7"/>
      <c r="AU206" s="12"/>
      <c r="AV206" s="7"/>
      <c r="AW206" s="143"/>
      <c r="AX206" s="75"/>
      <c r="AY206" s="91"/>
      <c r="AZ206" s="91"/>
      <c r="BA206" s="75"/>
      <c r="BB206" s="75"/>
      <c r="BC206" s="75"/>
      <c r="BD206" s="75"/>
      <c r="BE206" s="75"/>
      <c r="BF206" s="75"/>
      <c r="BG206" s="75"/>
      <c r="BH206" s="91"/>
      <c r="BI206" s="75"/>
      <c r="BJ206" s="75"/>
      <c r="BK206" s="75"/>
      <c r="BL206" s="75"/>
      <c r="BM206" s="91"/>
      <c r="BN206" s="75"/>
      <c r="BO206" s="91"/>
      <c r="BP206" s="18"/>
      <c r="BQ206" s="18"/>
      <c r="BR206" s="18"/>
      <c r="BS206" s="18"/>
      <c r="BT206" s="18"/>
      <c r="BU206" s="18"/>
      <c r="BV206" s="18"/>
      <c r="BW206" s="18"/>
      <c r="CV206" s="18"/>
      <c r="CW206" s="18"/>
      <c r="CX206" s="18"/>
      <c r="CY206" s="18"/>
      <c r="CZ206" s="18"/>
      <c r="DA206" s="18"/>
      <c r="DB206" s="18"/>
      <c r="DC206" s="18"/>
      <c r="DD206" s="18"/>
      <c r="DE206" s="18"/>
      <c r="DF206" s="18"/>
      <c r="DG206" s="18"/>
      <c r="DH206" s="18"/>
      <c r="DI206" s="18"/>
      <c r="DJ206" s="18"/>
      <c r="DK206" s="18"/>
      <c r="DL206" s="18"/>
      <c r="DM206" s="18"/>
    </row>
    <row r="207" spans="1:117" x14ac:dyDescent="0.3">
      <c r="A207" s="140"/>
      <c r="B207" s="69"/>
      <c r="C207" s="69"/>
      <c r="D207" s="69"/>
      <c r="E207" s="69"/>
      <c r="F207" s="69"/>
      <c r="G207" s="69"/>
      <c r="H207" s="69"/>
      <c r="Z207" s="32"/>
      <c r="AI207" s="7"/>
      <c r="AJ207" s="7"/>
      <c r="AK207" s="7"/>
      <c r="AL207" s="7"/>
      <c r="AM207" s="7"/>
      <c r="AN207" s="7"/>
      <c r="AO207" s="7"/>
      <c r="AP207" s="7"/>
      <c r="AQ207" s="7"/>
      <c r="AR207" s="7"/>
      <c r="AS207" s="7"/>
      <c r="AT207" s="7"/>
      <c r="AU207" s="12"/>
      <c r="AV207" s="7"/>
      <c r="AW207" s="143"/>
      <c r="AX207" s="75"/>
      <c r="AY207" s="91"/>
      <c r="AZ207" s="91"/>
      <c r="BA207" s="75"/>
      <c r="BB207" s="75"/>
      <c r="BC207" s="75"/>
      <c r="BD207" s="75"/>
      <c r="BE207" s="75"/>
      <c r="BF207" s="75"/>
      <c r="BG207" s="75"/>
      <c r="BH207" s="91"/>
      <c r="BI207" s="75"/>
      <c r="BJ207" s="75"/>
      <c r="BK207" s="75"/>
      <c r="BL207" s="75"/>
      <c r="BM207" s="91"/>
      <c r="BN207" s="75"/>
      <c r="BO207" s="91"/>
      <c r="BP207" s="18"/>
      <c r="BQ207" s="18"/>
      <c r="BR207" s="18"/>
      <c r="BS207" s="18"/>
      <c r="BT207" s="18"/>
      <c r="BU207" s="18"/>
      <c r="BV207" s="18"/>
      <c r="BW207" s="18"/>
      <c r="CV207" s="18"/>
      <c r="CW207" s="18"/>
      <c r="CX207" s="18"/>
      <c r="CY207" s="18"/>
      <c r="CZ207" s="18"/>
      <c r="DA207" s="18"/>
      <c r="DB207" s="18"/>
      <c r="DC207" s="18"/>
      <c r="DD207" s="18"/>
      <c r="DE207" s="18"/>
      <c r="DF207" s="18"/>
      <c r="DG207" s="18"/>
      <c r="DH207" s="18"/>
      <c r="DI207" s="18"/>
      <c r="DJ207" s="18"/>
      <c r="DK207" s="18"/>
      <c r="DL207" s="18"/>
      <c r="DM207" s="18"/>
    </row>
    <row r="208" spans="1:117" x14ac:dyDescent="0.3">
      <c r="A208" s="140"/>
      <c r="B208" s="69"/>
      <c r="C208" s="69"/>
      <c r="D208" s="69"/>
      <c r="E208" s="69"/>
      <c r="F208" s="69"/>
      <c r="G208" s="69"/>
      <c r="H208" s="69"/>
      <c r="Z208" s="32"/>
      <c r="AI208" s="7"/>
      <c r="AJ208" s="7"/>
      <c r="AK208" s="7"/>
      <c r="AL208" s="7"/>
      <c r="AM208" s="7"/>
      <c r="AN208" s="7"/>
      <c r="AO208" s="7"/>
      <c r="AP208" s="7"/>
      <c r="AQ208" s="7"/>
      <c r="AR208" s="7"/>
      <c r="AS208" s="7"/>
      <c r="AT208" s="7"/>
      <c r="AU208" s="12"/>
      <c r="AV208" s="7"/>
      <c r="AW208" s="143"/>
      <c r="AX208" s="75"/>
      <c r="AY208" s="91"/>
      <c r="AZ208" s="91"/>
      <c r="BA208" s="75"/>
      <c r="BB208" s="75"/>
      <c r="BC208" s="75"/>
      <c r="BD208" s="75"/>
      <c r="BE208" s="75"/>
      <c r="BF208" s="75"/>
      <c r="BG208" s="75"/>
      <c r="BH208" s="91"/>
      <c r="BI208" s="75"/>
      <c r="BJ208" s="75"/>
      <c r="BK208" s="75"/>
      <c r="BL208" s="75"/>
      <c r="BM208" s="91"/>
      <c r="BN208" s="75"/>
      <c r="BO208" s="91"/>
      <c r="BP208" s="18"/>
      <c r="BQ208" s="18"/>
      <c r="BR208" s="18"/>
      <c r="BS208" s="18"/>
      <c r="BT208" s="18"/>
      <c r="BU208" s="18"/>
      <c r="BV208" s="18"/>
      <c r="BW208" s="18"/>
      <c r="CV208" s="18"/>
      <c r="CW208" s="18"/>
      <c r="CX208" s="18"/>
      <c r="CY208" s="18"/>
      <c r="CZ208" s="18"/>
      <c r="DA208" s="18"/>
      <c r="DB208" s="18"/>
      <c r="DC208" s="18"/>
      <c r="DD208" s="18"/>
      <c r="DE208" s="18"/>
      <c r="DF208" s="18"/>
      <c r="DG208" s="18"/>
      <c r="DH208" s="18"/>
      <c r="DI208" s="18"/>
      <c r="DJ208" s="18"/>
      <c r="DK208" s="18"/>
      <c r="DL208" s="18"/>
      <c r="DM208" s="18"/>
    </row>
    <row r="209" spans="1:117" x14ac:dyDescent="0.3">
      <c r="A209" s="140"/>
      <c r="B209" s="69"/>
      <c r="C209" s="69"/>
      <c r="D209" s="69"/>
      <c r="E209" s="69"/>
      <c r="F209" s="69"/>
      <c r="G209" s="69"/>
      <c r="H209" s="69"/>
      <c r="Z209" s="32"/>
      <c r="AI209" s="7"/>
      <c r="AJ209" s="7"/>
      <c r="AK209" s="7"/>
      <c r="AL209" s="7"/>
      <c r="AM209" s="7"/>
      <c r="AN209" s="7"/>
      <c r="AO209" s="7"/>
      <c r="AP209" s="7"/>
      <c r="AQ209" s="7"/>
      <c r="AR209" s="7"/>
      <c r="AS209" s="7"/>
      <c r="AT209" s="7"/>
      <c r="AU209" s="12"/>
      <c r="AV209" s="7"/>
      <c r="AW209" s="143"/>
      <c r="AX209" s="75"/>
      <c r="AY209" s="91"/>
      <c r="AZ209" s="91"/>
      <c r="BA209" s="75"/>
      <c r="BB209" s="75"/>
      <c r="BC209" s="75"/>
      <c r="BD209" s="75"/>
      <c r="BE209" s="75"/>
      <c r="BF209" s="75"/>
      <c r="BG209" s="75"/>
      <c r="BH209" s="91"/>
      <c r="BI209" s="75"/>
      <c r="BJ209" s="75"/>
      <c r="BK209" s="75"/>
      <c r="BL209" s="75"/>
      <c r="BM209" s="91"/>
      <c r="BN209" s="75"/>
      <c r="BO209" s="91"/>
      <c r="BP209" s="18"/>
      <c r="BQ209" s="18"/>
      <c r="BR209" s="18"/>
      <c r="BS209" s="18"/>
      <c r="BT209" s="18"/>
      <c r="BU209" s="18"/>
      <c r="BV209" s="18"/>
      <c r="BW209" s="18"/>
      <c r="CV209" s="18"/>
      <c r="CW209" s="18"/>
      <c r="CX209" s="18"/>
      <c r="CY209" s="18"/>
      <c r="CZ209" s="18"/>
      <c r="DA209" s="18"/>
      <c r="DB209" s="18"/>
      <c r="DC209" s="18"/>
      <c r="DD209" s="18"/>
      <c r="DE209" s="18"/>
      <c r="DF209" s="18"/>
      <c r="DG209" s="18"/>
      <c r="DH209" s="18"/>
      <c r="DI209" s="18"/>
      <c r="DJ209" s="18"/>
      <c r="DK209" s="18"/>
      <c r="DL209" s="18"/>
      <c r="DM209" s="18"/>
    </row>
    <row r="210" spans="1:117" x14ac:dyDescent="0.3">
      <c r="A210" s="140"/>
      <c r="B210" s="69"/>
      <c r="C210" s="69"/>
      <c r="D210" s="69"/>
      <c r="E210" s="69"/>
      <c r="F210" s="69"/>
      <c r="G210" s="69"/>
      <c r="H210" s="69"/>
      <c r="Z210" s="32"/>
      <c r="AI210" s="7"/>
      <c r="AJ210" s="7"/>
      <c r="AK210" s="7"/>
      <c r="AL210" s="7"/>
      <c r="AM210" s="7"/>
      <c r="AN210" s="7"/>
      <c r="AO210" s="7"/>
      <c r="AP210" s="7"/>
      <c r="AQ210" s="7"/>
      <c r="AR210" s="7"/>
      <c r="AS210" s="7"/>
      <c r="AT210" s="7"/>
      <c r="AU210" s="12"/>
      <c r="AV210" s="7"/>
      <c r="AW210" s="143"/>
      <c r="AX210" s="75"/>
      <c r="AY210" s="91"/>
      <c r="AZ210" s="91"/>
      <c r="BA210" s="75"/>
      <c r="BB210" s="75"/>
      <c r="BC210" s="75"/>
      <c r="BD210" s="75"/>
      <c r="BE210" s="75"/>
      <c r="BF210" s="75"/>
      <c r="BG210" s="75"/>
      <c r="BH210" s="91"/>
      <c r="BI210" s="75"/>
      <c r="BJ210" s="75"/>
      <c r="BK210" s="75"/>
      <c r="BL210" s="75"/>
      <c r="BM210" s="91"/>
      <c r="BN210" s="75"/>
      <c r="BO210" s="91"/>
      <c r="BP210" s="18"/>
      <c r="BQ210" s="18"/>
      <c r="BR210" s="18"/>
      <c r="BS210" s="18"/>
      <c r="BT210" s="18"/>
      <c r="BU210" s="18"/>
      <c r="BV210" s="18"/>
      <c r="BW210" s="18"/>
      <c r="CV210" s="18"/>
      <c r="CW210" s="18"/>
      <c r="CX210" s="18"/>
      <c r="CY210" s="18"/>
      <c r="CZ210" s="18"/>
      <c r="DA210" s="18"/>
      <c r="DB210" s="18"/>
      <c r="DC210" s="18"/>
      <c r="DD210" s="18"/>
      <c r="DE210" s="18"/>
      <c r="DF210" s="18"/>
      <c r="DG210" s="18"/>
      <c r="DH210" s="18"/>
      <c r="DI210" s="18"/>
      <c r="DJ210" s="18"/>
      <c r="DK210" s="18"/>
      <c r="DL210" s="18"/>
      <c r="DM210" s="18"/>
    </row>
    <row r="211" spans="1:117" x14ac:dyDescent="0.3">
      <c r="A211" s="140"/>
      <c r="B211" s="69"/>
      <c r="C211" s="69"/>
      <c r="D211" s="69"/>
      <c r="E211" s="69"/>
      <c r="F211" s="69"/>
      <c r="G211" s="69"/>
      <c r="H211" s="69"/>
      <c r="Z211" s="32"/>
      <c r="AI211" s="7"/>
      <c r="AJ211" s="7"/>
      <c r="AK211" s="7"/>
      <c r="AL211" s="7"/>
      <c r="AM211" s="7"/>
      <c r="AN211" s="7"/>
      <c r="AO211" s="7"/>
      <c r="AP211" s="7"/>
      <c r="AQ211" s="7"/>
      <c r="AR211" s="7"/>
      <c r="AS211" s="7"/>
      <c r="AT211" s="7"/>
      <c r="AU211" s="12"/>
      <c r="AV211" s="7"/>
      <c r="AW211" s="143"/>
      <c r="AX211" s="75"/>
      <c r="AY211" s="91"/>
      <c r="AZ211" s="91"/>
      <c r="BA211" s="75"/>
      <c r="BB211" s="75"/>
      <c r="BC211" s="75"/>
      <c r="BD211" s="75"/>
      <c r="BE211" s="75"/>
      <c r="BF211" s="75"/>
      <c r="BG211" s="75"/>
      <c r="BH211" s="91"/>
      <c r="BI211" s="75"/>
      <c r="BJ211" s="75"/>
      <c r="BK211" s="75"/>
      <c r="BL211" s="75"/>
      <c r="BM211" s="91"/>
      <c r="BN211" s="75"/>
      <c r="BO211" s="91"/>
      <c r="BP211" s="18"/>
      <c r="BQ211" s="18"/>
      <c r="BR211" s="18"/>
      <c r="BS211" s="18"/>
      <c r="BT211" s="18"/>
      <c r="BU211" s="18"/>
      <c r="BV211" s="18"/>
      <c r="BW211" s="18"/>
      <c r="CV211" s="18"/>
      <c r="CW211" s="18"/>
      <c r="CX211" s="18"/>
      <c r="CY211" s="18"/>
      <c r="CZ211" s="18"/>
      <c r="DA211" s="18"/>
      <c r="DB211" s="18"/>
      <c r="DC211" s="18"/>
      <c r="DD211" s="18"/>
      <c r="DE211" s="18"/>
      <c r="DF211" s="18"/>
      <c r="DG211" s="18"/>
      <c r="DH211" s="18"/>
      <c r="DI211" s="18"/>
      <c r="DJ211" s="18"/>
      <c r="DK211" s="18"/>
      <c r="DL211" s="18"/>
      <c r="DM211" s="18"/>
    </row>
    <row r="212" spans="1:117" x14ac:dyDescent="0.3">
      <c r="A212" s="140"/>
      <c r="B212" s="69"/>
      <c r="C212" s="69"/>
      <c r="D212" s="69"/>
      <c r="E212" s="69"/>
      <c r="F212" s="69"/>
      <c r="G212" s="69"/>
      <c r="H212" s="69"/>
      <c r="Z212" s="32"/>
      <c r="AI212" s="7"/>
      <c r="AJ212" s="7"/>
      <c r="AK212" s="7"/>
      <c r="AL212" s="7"/>
      <c r="AM212" s="7"/>
      <c r="AN212" s="7"/>
      <c r="AO212" s="7"/>
      <c r="AP212" s="7"/>
      <c r="AQ212" s="7"/>
      <c r="AR212" s="7"/>
      <c r="AS212" s="7"/>
      <c r="AT212" s="7"/>
      <c r="AU212" s="7"/>
      <c r="AV212" s="69"/>
      <c r="AW212" s="32"/>
      <c r="BP212" s="18"/>
      <c r="BQ212" s="18"/>
      <c r="BR212" s="18"/>
      <c r="BS212" s="18"/>
      <c r="BT212" s="18"/>
      <c r="BU212" s="18"/>
      <c r="BV212" s="18"/>
      <c r="BW212" s="18"/>
      <c r="CV212" s="18"/>
      <c r="CW212" s="18"/>
      <c r="CX212" s="18"/>
      <c r="CY212" s="18"/>
      <c r="CZ212" s="18"/>
      <c r="DA212" s="18"/>
      <c r="DB212" s="18"/>
      <c r="DC212" s="18"/>
      <c r="DD212" s="18"/>
      <c r="DE212" s="18"/>
      <c r="DF212" s="18"/>
      <c r="DG212" s="18"/>
      <c r="DH212" s="18"/>
      <c r="DI212" s="18"/>
      <c r="DJ212" s="18"/>
      <c r="DK212" s="18"/>
      <c r="DL212" s="18"/>
      <c r="DM212" s="18"/>
    </row>
    <row r="213" spans="1:117" x14ac:dyDescent="0.3">
      <c r="A213" s="140"/>
      <c r="B213" s="69"/>
      <c r="C213" s="69"/>
      <c r="D213" s="69"/>
      <c r="E213" s="69"/>
      <c r="F213" s="69"/>
      <c r="G213" s="69"/>
      <c r="H213" s="69"/>
      <c r="Z213" s="32"/>
      <c r="AI213" s="7"/>
      <c r="AJ213" s="7"/>
      <c r="AK213" s="7"/>
      <c r="AL213" s="7"/>
      <c r="AM213" s="7"/>
      <c r="AN213" s="7"/>
      <c r="AO213" s="7"/>
      <c r="AP213" s="7"/>
      <c r="AQ213" s="7"/>
      <c r="AR213" s="7"/>
      <c r="AS213" s="7"/>
      <c r="AT213" s="7"/>
      <c r="AU213" s="7"/>
      <c r="AV213" s="69"/>
      <c r="AW213" s="32"/>
      <c r="BP213" s="18"/>
      <c r="BQ213" s="18"/>
      <c r="BR213" s="18"/>
      <c r="BS213" s="18"/>
      <c r="BT213" s="18"/>
      <c r="BU213" s="18"/>
      <c r="BV213" s="18"/>
      <c r="BW213" s="18"/>
      <c r="CV213" s="18"/>
      <c r="CW213" s="18"/>
      <c r="CX213" s="18"/>
      <c r="CY213" s="18"/>
      <c r="CZ213" s="18"/>
      <c r="DA213" s="18"/>
      <c r="DB213" s="18"/>
      <c r="DC213" s="18"/>
      <c r="DD213" s="18"/>
      <c r="DE213" s="18"/>
      <c r="DF213" s="18"/>
      <c r="DG213" s="18"/>
      <c r="DH213" s="18"/>
      <c r="DI213" s="18"/>
      <c r="DJ213" s="18"/>
      <c r="DK213" s="18"/>
      <c r="DL213" s="18"/>
      <c r="DM213" s="18"/>
    </row>
    <row r="214" spans="1:117" x14ac:dyDescent="0.3">
      <c r="A214" s="140"/>
      <c r="B214" s="69"/>
      <c r="C214" s="69"/>
      <c r="D214" s="69"/>
      <c r="E214" s="69"/>
      <c r="F214" s="69"/>
      <c r="G214" s="69"/>
      <c r="H214" s="69"/>
      <c r="Z214" s="32"/>
      <c r="AI214" s="7"/>
      <c r="AJ214" s="7"/>
      <c r="AK214" s="7"/>
      <c r="AL214" s="7"/>
      <c r="AM214" s="7"/>
      <c r="AN214" s="7"/>
      <c r="AO214" s="7"/>
      <c r="AP214" s="7"/>
      <c r="AQ214" s="7"/>
      <c r="AR214" s="7"/>
      <c r="AS214" s="7"/>
      <c r="AT214" s="7"/>
      <c r="AU214" s="7"/>
      <c r="AV214" s="69"/>
      <c r="AW214" s="32"/>
      <c r="BP214" s="18"/>
      <c r="BQ214" s="18"/>
      <c r="BR214" s="18"/>
      <c r="BS214" s="18"/>
      <c r="BT214" s="18"/>
      <c r="BU214" s="18"/>
      <c r="BV214" s="18"/>
      <c r="BW214" s="18"/>
      <c r="CV214" s="18"/>
      <c r="CW214" s="18"/>
      <c r="CX214" s="18"/>
      <c r="CY214" s="18"/>
      <c r="CZ214" s="18"/>
      <c r="DA214" s="18"/>
      <c r="DB214" s="18"/>
      <c r="DC214" s="18"/>
      <c r="DD214" s="18"/>
      <c r="DE214" s="18"/>
      <c r="DF214" s="18"/>
      <c r="DG214" s="18"/>
      <c r="DH214" s="18"/>
      <c r="DI214" s="18"/>
      <c r="DJ214" s="18"/>
      <c r="DK214" s="18"/>
      <c r="DL214" s="18"/>
      <c r="DM214" s="18"/>
    </row>
    <row r="215" spans="1:117" x14ac:dyDescent="0.3">
      <c r="A215" s="140"/>
      <c r="B215" s="69"/>
      <c r="C215" s="69"/>
      <c r="D215" s="69"/>
      <c r="E215" s="69"/>
      <c r="F215" s="69"/>
      <c r="G215" s="69"/>
      <c r="H215" s="69"/>
      <c r="Z215" s="32"/>
      <c r="AI215" s="7"/>
      <c r="AJ215" s="7"/>
      <c r="AK215" s="7"/>
      <c r="AL215" s="7"/>
      <c r="AM215" s="7"/>
      <c r="AN215" s="7"/>
      <c r="AO215" s="7"/>
      <c r="AP215" s="7"/>
      <c r="AQ215" s="7"/>
      <c r="AR215" s="7"/>
      <c r="AS215" s="7"/>
      <c r="AT215" s="7"/>
      <c r="AU215" s="7"/>
      <c r="AV215" s="69"/>
      <c r="AW215" s="32"/>
      <c r="BP215" s="18"/>
      <c r="BQ215" s="18"/>
      <c r="BR215" s="18"/>
      <c r="BS215" s="18"/>
      <c r="BT215" s="18"/>
      <c r="BU215" s="18"/>
      <c r="BV215" s="18"/>
      <c r="BW215" s="18"/>
      <c r="CV215" s="18"/>
      <c r="CW215" s="18"/>
      <c r="CX215" s="18"/>
      <c r="CY215" s="18"/>
      <c r="CZ215" s="18"/>
      <c r="DA215" s="18"/>
      <c r="DB215" s="18"/>
      <c r="DC215" s="18"/>
      <c r="DD215" s="18"/>
      <c r="DE215" s="18"/>
      <c r="DF215" s="18"/>
      <c r="DG215" s="18"/>
      <c r="DH215" s="18"/>
      <c r="DI215" s="18"/>
      <c r="DJ215" s="18"/>
      <c r="DK215" s="18"/>
      <c r="DL215" s="18"/>
      <c r="DM215" s="18"/>
    </row>
    <row r="216" spans="1:117" x14ac:dyDescent="0.3">
      <c r="A216" s="140"/>
      <c r="B216" s="69"/>
      <c r="C216" s="69"/>
      <c r="D216" s="69"/>
      <c r="E216" s="69"/>
      <c r="F216" s="69"/>
      <c r="G216" s="69"/>
      <c r="H216" s="69"/>
      <c r="Z216" s="32"/>
      <c r="AI216" s="7"/>
      <c r="AJ216" s="7"/>
      <c r="AK216" s="7"/>
      <c r="AL216" s="7"/>
      <c r="AM216" s="7"/>
      <c r="AN216" s="7"/>
      <c r="AO216" s="7"/>
      <c r="AP216" s="7"/>
      <c r="AQ216" s="7"/>
      <c r="AR216" s="7"/>
      <c r="AS216" s="7"/>
      <c r="AT216" s="7"/>
      <c r="AU216" s="7"/>
      <c r="AV216" s="69"/>
      <c r="AW216" s="32"/>
      <c r="BP216" s="18"/>
      <c r="BQ216" s="18"/>
      <c r="BR216" s="18"/>
      <c r="BS216" s="18"/>
      <c r="BT216" s="18"/>
      <c r="BU216" s="18"/>
      <c r="BV216" s="18"/>
      <c r="BW216" s="18"/>
      <c r="CV216" s="18"/>
      <c r="CW216" s="18"/>
      <c r="CX216" s="18"/>
      <c r="CY216" s="18"/>
      <c r="CZ216" s="18"/>
      <c r="DA216" s="18"/>
      <c r="DB216" s="18"/>
      <c r="DC216" s="18"/>
      <c r="DD216" s="18"/>
      <c r="DE216" s="18"/>
      <c r="DF216" s="18"/>
      <c r="DG216" s="18"/>
      <c r="DH216" s="18"/>
      <c r="DI216" s="18"/>
      <c r="DJ216" s="18"/>
      <c r="DK216" s="18"/>
      <c r="DL216" s="18"/>
      <c r="DM216" s="18"/>
    </row>
    <row r="217" spans="1:117" x14ac:dyDescent="0.3">
      <c r="A217" s="140"/>
      <c r="B217" s="69"/>
      <c r="C217" s="69"/>
      <c r="D217" s="69"/>
      <c r="E217" s="69"/>
      <c r="F217" s="69"/>
      <c r="G217" s="69"/>
      <c r="H217" s="69"/>
      <c r="Z217" s="32"/>
      <c r="AI217" s="7"/>
      <c r="AJ217" s="7"/>
      <c r="AK217" s="7"/>
      <c r="AL217" s="7"/>
      <c r="AM217" s="7"/>
      <c r="AN217" s="7"/>
      <c r="AO217" s="7"/>
      <c r="AP217" s="7"/>
      <c r="AQ217" s="7"/>
      <c r="AR217" s="7"/>
      <c r="AS217" s="7"/>
      <c r="AT217" s="7"/>
      <c r="AU217" s="7"/>
      <c r="AV217" s="69"/>
      <c r="AW217" s="32"/>
      <c r="BP217" s="18"/>
      <c r="BQ217" s="18"/>
      <c r="BR217" s="18"/>
      <c r="BS217" s="18"/>
      <c r="BT217" s="18"/>
      <c r="BU217" s="18"/>
      <c r="BV217" s="18"/>
      <c r="BW217" s="18"/>
      <c r="CV217" s="18"/>
      <c r="CW217" s="18"/>
      <c r="CX217" s="18"/>
      <c r="CY217" s="18"/>
      <c r="CZ217" s="18"/>
      <c r="DA217" s="18"/>
      <c r="DB217" s="18"/>
      <c r="DC217" s="18"/>
      <c r="DD217" s="18"/>
      <c r="DE217" s="18"/>
      <c r="DF217" s="18"/>
      <c r="DG217" s="18"/>
      <c r="DH217" s="18"/>
      <c r="DI217" s="18"/>
      <c r="DJ217" s="18"/>
      <c r="DK217" s="18"/>
      <c r="DL217" s="18"/>
      <c r="DM217" s="18"/>
    </row>
    <row r="218" spans="1:117" x14ac:dyDescent="0.3">
      <c r="A218" s="140"/>
      <c r="B218" s="69"/>
      <c r="C218" s="69"/>
      <c r="D218" s="69"/>
      <c r="E218" s="69"/>
      <c r="F218" s="69"/>
      <c r="G218" s="69"/>
      <c r="H218" s="69"/>
      <c r="Z218" s="32"/>
      <c r="AI218" s="7"/>
      <c r="AJ218" s="7"/>
      <c r="AK218" s="7"/>
      <c r="AL218" s="7"/>
      <c r="AM218" s="7"/>
      <c r="AN218" s="7"/>
      <c r="AO218" s="7"/>
      <c r="AP218" s="7"/>
      <c r="AQ218" s="7"/>
      <c r="AR218" s="7"/>
      <c r="AS218" s="7"/>
      <c r="AT218" s="7"/>
      <c r="AU218" s="7"/>
      <c r="AV218" s="69"/>
      <c r="AW218" s="32"/>
      <c r="BP218" s="18"/>
      <c r="BQ218" s="18"/>
      <c r="BR218" s="18"/>
      <c r="BS218" s="18"/>
      <c r="BT218" s="18"/>
      <c r="BU218" s="18"/>
      <c r="BV218" s="18"/>
      <c r="BW218" s="18"/>
      <c r="CV218" s="18"/>
      <c r="CW218" s="18"/>
      <c r="CX218" s="18"/>
      <c r="CY218" s="18"/>
      <c r="CZ218" s="18"/>
      <c r="DA218" s="18"/>
      <c r="DB218" s="18"/>
      <c r="DC218" s="18"/>
      <c r="DD218" s="18"/>
      <c r="DE218" s="18"/>
      <c r="DF218" s="18"/>
      <c r="DG218" s="18"/>
      <c r="DH218" s="18"/>
      <c r="DI218" s="18"/>
      <c r="DJ218" s="18"/>
      <c r="DK218" s="18"/>
      <c r="DL218" s="18"/>
      <c r="DM218" s="18"/>
    </row>
    <row r="219" spans="1:117" x14ac:dyDescent="0.3">
      <c r="A219" s="140"/>
      <c r="B219" s="69"/>
      <c r="C219" s="69"/>
      <c r="D219" s="69"/>
      <c r="E219" s="69"/>
      <c r="F219" s="69"/>
      <c r="G219" s="69"/>
      <c r="H219" s="69"/>
      <c r="Z219" s="32"/>
      <c r="AI219" s="7"/>
      <c r="AJ219" s="7"/>
      <c r="AK219" s="7"/>
      <c r="AL219" s="7"/>
      <c r="AM219" s="7"/>
      <c r="AN219" s="7"/>
      <c r="AO219" s="7"/>
      <c r="AP219" s="7"/>
      <c r="AQ219" s="7"/>
      <c r="AR219" s="7"/>
      <c r="AS219" s="7"/>
      <c r="AT219" s="7"/>
      <c r="AU219" s="7"/>
      <c r="AV219" s="69"/>
      <c r="AW219" s="32"/>
      <c r="BP219" s="18"/>
      <c r="BQ219" s="18"/>
      <c r="BR219" s="18"/>
      <c r="BS219" s="18"/>
      <c r="BT219" s="18"/>
      <c r="BU219" s="18"/>
      <c r="BV219" s="18"/>
      <c r="BW219" s="18"/>
      <c r="CV219" s="18"/>
      <c r="CW219" s="18"/>
      <c r="CX219" s="18"/>
      <c r="CY219" s="18"/>
      <c r="CZ219" s="18"/>
      <c r="DA219" s="18"/>
      <c r="DB219" s="18"/>
      <c r="DC219" s="18"/>
      <c r="DD219" s="18"/>
      <c r="DE219" s="18"/>
      <c r="DF219" s="18"/>
      <c r="DG219" s="18"/>
      <c r="DH219" s="18"/>
      <c r="DI219" s="18"/>
      <c r="DJ219" s="18"/>
      <c r="DK219" s="18"/>
      <c r="DL219" s="18"/>
      <c r="DM219" s="18"/>
    </row>
    <row r="220" spans="1:117" x14ac:dyDescent="0.3">
      <c r="A220" s="140"/>
      <c r="B220" s="69"/>
      <c r="C220" s="69"/>
      <c r="D220" s="69"/>
      <c r="E220" s="69"/>
      <c r="F220" s="69"/>
      <c r="G220" s="69"/>
      <c r="H220" s="69"/>
      <c r="Z220" s="32"/>
      <c r="AI220" s="7"/>
      <c r="AJ220" s="7"/>
      <c r="AK220" s="7"/>
      <c r="AL220" s="7"/>
      <c r="AM220" s="7"/>
      <c r="AN220" s="7"/>
      <c r="AO220" s="7"/>
      <c r="AP220" s="7"/>
      <c r="AQ220" s="7"/>
      <c r="AR220" s="7"/>
      <c r="AS220" s="7"/>
      <c r="AT220" s="7"/>
      <c r="AU220" s="7"/>
      <c r="AV220" s="69"/>
      <c r="AW220" s="32"/>
      <c r="BP220" s="18"/>
      <c r="BQ220" s="18"/>
      <c r="BR220" s="18"/>
      <c r="BS220" s="18"/>
      <c r="BT220" s="18"/>
      <c r="BU220" s="18"/>
      <c r="BV220" s="18"/>
      <c r="BW220" s="18"/>
      <c r="CV220" s="18"/>
      <c r="CW220" s="18"/>
      <c r="CX220" s="18"/>
      <c r="CY220" s="18"/>
      <c r="CZ220" s="18"/>
      <c r="DA220" s="18"/>
      <c r="DB220" s="18"/>
      <c r="DC220" s="18"/>
      <c r="DD220" s="18"/>
      <c r="DE220" s="18"/>
      <c r="DF220" s="18"/>
      <c r="DG220" s="18"/>
      <c r="DH220" s="18"/>
      <c r="DI220" s="18"/>
      <c r="DJ220" s="18"/>
      <c r="DK220" s="18"/>
      <c r="DL220" s="18"/>
      <c r="DM220" s="18"/>
    </row>
    <row r="221" spans="1:117" x14ac:dyDescent="0.3">
      <c r="A221" s="140"/>
      <c r="B221" s="69"/>
      <c r="C221" s="69"/>
      <c r="D221" s="69"/>
      <c r="E221" s="69"/>
      <c r="F221" s="69"/>
      <c r="G221" s="69"/>
      <c r="H221" s="69"/>
      <c r="AI221" s="7"/>
      <c r="AJ221" s="7"/>
      <c r="AK221" s="7"/>
      <c r="AL221" s="7"/>
      <c r="AM221" s="7"/>
      <c r="AN221" s="7"/>
      <c r="AO221" s="7"/>
      <c r="AP221" s="7"/>
      <c r="AQ221" s="7"/>
      <c r="AR221" s="7"/>
      <c r="AS221" s="7"/>
      <c r="AT221" s="7"/>
      <c r="AU221" s="7"/>
      <c r="AV221" s="69"/>
      <c r="AW221" s="32"/>
      <c r="BP221" s="18"/>
      <c r="BQ221" s="18"/>
      <c r="BR221" s="18"/>
      <c r="BS221" s="18"/>
      <c r="BT221" s="18"/>
      <c r="BU221" s="18"/>
      <c r="BV221" s="18"/>
      <c r="BW221" s="18"/>
      <c r="CV221" s="18"/>
      <c r="CW221" s="18"/>
      <c r="CX221" s="18"/>
      <c r="CY221" s="18"/>
      <c r="CZ221" s="18"/>
      <c r="DA221" s="18"/>
      <c r="DB221" s="18"/>
      <c r="DC221" s="18"/>
      <c r="DD221" s="18"/>
      <c r="DE221" s="18"/>
      <c r="DF221" s="18"/>
      <c r="DG221" s="18"/>
      <c r="DH221" s="18"/>
      <c r="DI221" s="18"/>
      <c r="DJ221" s="18"/>
      <c r="DK221" s="18"/>
      <c r="DL221" s="18"/>
      <c r="DM221" s="18"/>
    </row>
    <row r="222" spans="1:117" x14ac:dyDescent="0.3">
      <c r="A222" s="140"/>
      <c r="B222" s="69"/>
      <c r="C222" s="69"/>
      <c r="D222" s="69"/>
      <c r="E222" s="69"/>
      <c r="F222" s="69"/>
      <c r="G222" s="69"/>
      <c r="H222" s="69"/>
      <c r="AI222" s="7"/>
      <c r="AJ222" s="7"/>
      <c r="AK222" s="7"/>
      <c r="AL222" s="7"/>
      <c r="AM222" s="7"/>
      <c r="AN222" s="7"/>
      <c r="AO222" s="7"/>
      <c r="AP222" s="7"/>
      <c r="AQ222" s="7"/>
      <c r="AR222" s="7"/>
      <c r="AS222" s="7"/>
      <c r="AT222" s="7"/>
      <c r="AU222" s="7"/>
      <c r="AV222" s="69"/>
      <c r="AW222" s="32"/>
      <c r="BP222" s="18"/>
      <c r="BQ222" s="18"/>
      <c r="BR222" s="18"/>
      <c r="BS222" s="18"/>
      <c r="BT222" s="18"/>
      <c r="BU222" s="18"/>
      <c r="BV222" s="18"/>
      <c r="BW222" s="18"/>
      <c r="CV222" s="18"/>
      <c r="CW222" s="18"/>
      <c r="CX222" s="18"/>
      <c r="CY222" s="18"/>
      <c r="CZ222" s="18"/>
      <c r="DA222" s="18"/>
      <c r="DB222" s="18"/>
      <c r="DC222" s="18"/>
      <c r="DD222" s="18"/>
      <c r="DE222" s="18"/>
      <c r="DF222" s="18"/>
      <c r="DG222" s="18"/>
      <c r="DH222" s="18"/>
      <c r="DI222" s="18"/>
      <c r="DJ222" s="18"/>
      <c r="DK222" s="18"/>
      <c r="DL222" s="18"/>
      <c r="DM222" s="18"/>
    </row>
    <row r="223" spans="1:117" x14ac:dyDescent="0.3">
      <c r="A223" s="140"/>
      <c r="B223" s="69"/>
      <c r="C223" s="69"/>
      <c r="D223" s="69"/>
      <c r="E223" s="69"/>
      <c r="F223" s="69"/>
      <c r="G223" s="69"/>
      <c r="H223" s="69"/>
      <c r="AI223" s="7"/>
      <c r="AJ223" s="7"/>
      <c r="AK223" s="7"/>
      <c r="AL223" s="7"/>
      <c r="AM223" s="7"/>
      <c r="AN223" s="7"/>
      <c r="AO223" s="7"/>
      <c r="AP223" s="7"/>
      <c r="AQ223" s="7"/>
      <c r="AR223" s="7"/>
      <c r="AS223" s="7"/>
      <c r="AT223" s="7"/>
      <c r="AU223" s="7"/>
      <c r="AV223" s="69"/>
      <c r="AW223" s="32"/>
      <c r="BP223" s="18"/>
      <c r="BQ223" s="18"/>
      <c r="BR223" s="18"/>
      <c r="BS223" s="18"/>
      <c r="BT223" s="18"/>
      <c r="BU223" s="18"/>
      <c r="BV223" s="18"/>
      <c r="BW223" s="18"/>
      <c r="CV223" s="18"/>
      <c r="CW223" s="18"/>
      <c r="CX223" s="18"/>
      <c r="CY223" s="18"/>
      <c r="CZ223" s="18"/>
      <c r="DA223" s="18"/>
      <c r="DB223" s="18"/>
      <c r="DC223" s="18"/>
      <c r="DD223" s="18"/>
      <c r="DE223" s="18"/>
      <c r="DF223" s="18"/>
      <c r="DG223" s="18"/>
      <c r="DH223" s="18"/>
      <c r="DI223" s="18"/>
      <c r="DJ223" s="18"/>
      <c r="DK223" s="18"/>
      <c r="DL223" s="18"/>
      <c r="DM223" s="18"/>
    </row>
    <row r="224" spans="1:117" x14ac:dyDescent="0.3">
      <c r="A224" s="140"/>
      <c r="B224" s="69"/>
      <c r="C224" s="69"/>
      <c r="D224" s="69"/>
      <c r="E224" s="69"/>
      <c r="F224" s="69"/>
      <c r="G224" s="69"/>
      <c r="H224" s="69"/>
      <c r="AI224" s="7"/>
      <c r="AJ224" s="7"/>
      <c r="AK224" s="7"/>
      <c r="AL224" s="7"/>
      <c r="AM224" s="7"/>
      <c r="AN224" s="7"/>
      <c r="AO224" s="7"/>
      <c r="AP224" s="7"/>
      <c r="AQ224" s="7"/>
      <c r="AR224" s="7"/>
      <c r="AS224" s="7"/>
      <c r="AT224" s="7"/>
      <c r="AU224" s="7"/>
      <c r="AV224" s="69"/>
      <c r="AW224" s="32"/>
      <c r="BP224" s="18"/>
      <c r="BQ224" s="18"/>
      <c r="BR224" s="18"/>
      <c r="BS224" s="18"/>
      <c r="BT224" s="18"/>
      <c r="BU224" s="18"/>
      <c r="BV224" s="18"/>
      <c r="BW224" s="18"/>
      <c r="CV224" s="18"/>
      <c r="CW224" s="18"/>
      <c r="CX224" s="18"/>
      <c r="CY224" s="18"/>
      <c r="CZ224" s="18"/>
      <c r="DA224" s="18"/>
      <c r="DB224" s="18"/>
      <c r="DC224" s="18"/>
      <c r="DD224" s="18"/>
      <c r="DE224" s="18"/>
      <c r="DF224" s="18"/>
      <c r="DG224" s="18"/>
      <c r="DH224" s="18"/>
      <c r="DI224" s="18"/>
      <c r="DJ224" s="18"/>
      <c r="DK224" s="18"/>
      <c r="DL224" s="18"/>
      <c r="DM224" s="18"/>
    </row>
    <row r="225" spans="1:117" x14ac:dyDescent="0.3">
      <c r="A225" s="140"/>
      <c r="B225" s="69"/>
      <c r="C225" s="69"/>
      <c r="D225" s="69"/>
      <c r="E225" s="69"/>
      <c r="F225" s="69"/>
      <c r="G225" s="69"/>
      <c r="H225" s="69"/>
      <c r="AI225" s="7"/>
      <c r="AJ225" s="7"/>
      <c r="AK225" s="7"/>
      <c r="AL225" s="7"/>
      <c r="AM225" s="7"/>
      <c r="AN225" s="7"/>
      <c r="AO225" s="7"/>
      <c r="AP225" s="7"/>
      <c r="AQ225" s="7"/>
      <c r="AR225" s="7"/>
      <c r="AS225" s="7"/>
      <c r="AT225" s="7"/>
      <c r="AU225" s="7"/>
      <c r="AV225" s="69"/>
      <c r="AW225" s="32"/>
      <c r="BP225" s="18"/>
      <c r="BQ225" s="18"/>
      <c r="BR225" s="18"/>
      <c r="BS225" s="18"/>
      <c r="BT225" s="18"/>
      <c r="BU225" s="18"/>
      <c r="BV225" s="18"/>
      <c r="BW225" s="18"/>
      <c r="CV225" s="18"/>
      <c r="CW225" s="18"/>
      <c r="CX225" s="18"/>
      <c r="CY225" s="18"/>
      <c r="CZ225" s="18"/>
      <c r="DA225" s="18"/>
      <c r="DB225" s="18"/>
      <c r="DC225" s="18"/>
      <c r="DD225" s="18"/>
      <c r="DE225" s="18"/>
      <c r="DF225" s="18"/>
      <c r="DG225" s="18"/>
      <c r="DH225" s="18"/>
      <c r="DI225" s="18"/>
      <c r="DJ225" s="18"/>
      <c r="DK225" s="18"/>
      <c r="DL225" s="18"/>
      <c r="DM225" s="18"/>
    </row>
    <row r="226" spans="1:117" x14ac:dyDescent="0.3">
      <c r="A226" s="140"/>
      <c r="B226" s="69"/>
      <c r="C226" s="69"/>
      <c r="D226" s="69"/>
      <c r="E226" s="69"/>
      <c r="F226" s="69"/>
      <c r="G226" s="69"/>
      <c r="H226" s="69"/>
      <c r="AI226" s="7"/>
      <c r="AJ226" s="7"/>
      <c r="AK226" s="7"/>
      <c r="AL226" s="7"/>
      <c r="AM226" s="7"/>
      <c r="AN226" s="7"/>
      <c r="AO226" s="7"/>
      <c r="AP226" s="7"/>
      <c r="AQ226" s="7"/>
      <c r="AR226" s="7"/>
      <c r="AS226" s="7"/>
      <c r="AT226" s="7"/>
      <c r="AU226" s="7"/>
      <c r="AV226" s="69"/>
      <c r="AW226" s="32"/>
      <c r="BP226" s="18"/>
      <c r="BQ226" s="18"/>
      <c r="BR226" s="18"/>
      <c r="BS226" s="18"/>
      <c r="BT226" s="18"/>
      <c r="BU226" s="18"/>
      <c r="BV226" s="18"/>
      <c r="BW226" s="18"/>
      <c r="CV226" s="18"/>
      <c r="CW226" s="18"/>
      <c r="CX226" s="18"/>
      <c r="CY226" s="18"/>
      <c r="CZ226" s="18"/>
      <c r="DA226" s="18"/>
      <c r="DB226" s="18"/>
      <c r="DC226" s="18"/>
      <c r="DD226" s="18"/>
      <c r="DE226" s="18"/>
      <c r="DF226" s="18"/>
      <c r="DG226" s="18"/>
      <c r="DH226" s="18"/>
      <c r="DI226" s="18"/>
      <c r="DJ226" s="18"/>
      <c r="DK226" s="18"/>
      <c r="DL226" s="18"/>
      <c r="DM226" s="18"/>
    </row>
    <row r="227" spans="1:117" x14ac:dyDescent="0.3">
      <c r="A227" s="140"/>
      <c r="B227" s="69"/>
      <c r="C227" s="69"/>
      <c r="D227" s="69"/>
      <c r="E227" s="69"/>
      <c r="F227" s="69"/>
      <c r="G227" s="69"/>
      <c r="H227" s="69"/>
      <c r="AI227" s="7"/>
      <c r="AJ227" s="7"/>
      <c r="AK227" s="7"/>
      <c r="AL227" s="7"/>
      <c r="AM227" s="7"/>
      <c r="AN227" s="7"/>
      <c r="AO227" s="7"/>
      <c r="AP227" s="7"/>
      <c r="AQ227" s="7"/>
      <c r="AR227" s="7"/>
      <c r="AS227" s="7"/>
      <c r="AT227" s="7"/>
      <c r="AU227" s="7"/>
      <c r="AV227" s="69"/>
      <c r="AW227" s="32"/>
      <c r="BP227" s="18"/>
      <c r="BQ227" s="18"/>
      <c r="BR227" s="18"/>
      <c r="BS227" s="18"/>
      <c r="BT227" s="18"/>
      <c r="BU227" s="18"/>
      <c r="BV227" s="18"/>
      <c r="BW227" s="18"/>
      <c r="CV227" s="18"/>
      <c r="CW227" s="18"/>
      <c r="CX227" s="18"/>
      <c r="CY227" s="18"/>
      <c r="CZ227" s="18"/>
      <c r="DA227" s="18"/>
      <c r="DB227" s="18"/>
      <c r="DC227" s="18"/>
      <c r="DD227" s="18"/>
      <c r="DE227" s="18"/>
      <c r="DF227" s="18"/>
      <c r="DG227" s="18"/>
      <c r="DH227" s="18"/>
      <c r="DI227" s="18"/>
      <c r="DJ227" s="18"/>
      <c r="DK227" s="18"/>
      <c r="DL227" s="18"/>
      <c r="DM227" s="18"/>
    </row>
    <row r="228" spans="1:117" x14ac:dyDescent="0.3">
      <c r="A228" s="140"/>
      <c r="B228" s="69"/>
      <c r="C228" s="69"/>
      <c r="D228" s="69"/>
      <c r="E228" s="69"/>
      <c r="F228" s="69"/>
      <c r="G228" s="69"/>
      <c r="H228" s="69"/>
      <c r="AI228" s="7"/>
      <c r="AJ228" s="7"/>
      <c r="AK228" s="7"/>
      <c r="AL228" s="7"/>
      <c r="AM228" s="7"/>
      <c r="AN228" s="7"/>
      <c r="AO228" s="7"/>
      <c r="AP228" s="7"/>
      <c r="AQ228" s="7"/>
      <c r="AR228" s="7"/>
      <c r="AS228" s="7"/>
      <c r="AT228" s="7"/>
      <c r="AU228" s="7"/>
      <c r="AV228" s="69"/>
      <c r="AW228" s="32"/>
      <c r="BP228" s="18"/>
      <c r="BQ228" s="18"/>
      <c r="BR228" s="18"/>
      <c r="BS228" s="18"/>
      <c r="BT228" s="18"/>
      <c r="BU228" s="18"/>
      <c r="BV228" s="18"/>
      <c r="BW228" s="18"/>
      <c r="CV228" s="18"/>
      <c r="CW228" s="18"/>
      <c r="CX228" s="18"/>
      <c r="CY228" s="18"/>
      <c r="CZ228" s="18"/>
      <c r="DA228" s="18"/>
      <c r="DB228" s="18"/>
      <c r="DC228" s="18"/>
      <c r="DD228" s="18"/>
      <c r="DE228" s="18"/>
      <c r="DF228" s="18"/>
      <c r="DG228" s="18"/>
      <c r="DH228" s="18"/>
      <c r="DI228" s="18"/>
      <c r="DJ228" s="18"/>
      <c r="DK228" s="18"/>
      <c r="DL228" s="18"/>
      <c r="DM228" s="18"/>
    </row>
    <row r="229" spans="1:117" x14ac:dyDescent="0.3">
      <c r="A229" s="140"/>
      <c r="B229" s="69"/>
      <c r="C229" s="69"/>
      <c r="D229" s="69"/>
      <c r="E229" s="69"/>
      <c r="F229" s="69"/>
      <c r="G229" s="69"/>
      <c r="H229" s="69"/>
      <c r="AI229" s="7"/>
      <c r="AJ229" s="7"/>
      <c r="AK229" s="7"/>
      <c r="AL229" s="7"/>
      <c r="AM229" s="7"/>
      <c r="AN229" s="7"/>
      <c r="AO229" s="7"/>
      <c r="AP229" s="7"/>
      <c r="AQ229" s="7"/>
      <c r="AR229" s="7"/>
      <c r="AS229" s="7"/>
      <c r="AT229" s="7"/>
      <c r="AU229" s="7"/>
      <c r="AV229" s="69"/>
      <c r="AW229" s="32"/>
      <c r="BP229" s="18"/>
      <c r="BQ229" s="18"/>
      <c r="BR229" s="18"/>
      <c r="BS229" s="18"/>
      <c r="BT229" s="18"/>
      <c r="BU229" s="18"/>
      <c r="BV229" s="18"/>
      <c r="BW229" s="18"/>
      <c r="CV229" s="18"/>
      <c r="CW229" s="18"/>
      <c r="CX229" s="18"/>
      <c r="CY229" s="18"/>
      <c r="CZ229" s="18"/>
      <c r="DA229" s="18"/>
      <c r="DB229" s="18"/>
      <c r="DC229" s="18"/>
      <c r="DD229" s="18"/>
      <c r="DE229" s="18"/>
      <c r="DF229" s="18"/>
      <c r="DG229" s="18"/>
      <c r="DH229" s="18"/>
      <c r="DI229" s="18"/>
      <c r="DJ229" s="18"/>
      <c r="DK229" s="18"/>
      <c r="DL229" s="18"/>
      <c r="DM229" s="18"/>
    </row>
    <row r="230" spans="1:117" x14ac:dyDescent="0.3">
      <c r="A230" s="140"/>
      <c r="B230" s="69"/>
      <c r="C230" s="69"/>
      <c r="D230" s="69"/>
      <c r="E230" s="69"/>
      <c r="F230" s="69"/>
      <c r="G230" s="69"/>
      <c r="H230" s="69"/>
      <c r="AI230" s="7"/>
      <c r="AJ230" s="7"/>
      <c r="AK230" s="7"/>
      <c r="AL230" s="7"/>
      <c r="AM230" s="7"/>
      <c r="AN230" s="7"/>
      <c r="AO230" s="7"/>
      <c r="AP230" s="7"/>
      <c r="AQ230" s="7"/>
      <c r="AR230" s="7"/>
      <c r="AS230" s="7"/>
      <c r="AT230" s="7"/>
      <c r="AU230" s="7"/>
      <c r="AV230" s="69"/>
      <c r="AW230" s="32"/>
      <c r="BP230" s="18"/>
      <c r="BQ230" s="18"/>
      <c r="BR230" s="18"/>
      <c r="BS230" s="18"/>
      <c r="BT230" s="18"/>
      <c r="BU230" s="18"/>
      <c r="BV230" s="18"/>
      <c r="BW230" s="18"/>
      <c r="CV230" s="18"/>
      <c r="CW230" s="18"/>
      <c r="CX230" s="18"/>
      <c r="CY230" s="18"/>
      <c r="CZ230" s="18"/>
      <c r="DA230" s="18"/>
      <c r="DB230" s="18"/>
      <c r="DC230" s="18"/>
      <c r="DD230" s="18"/>
      <c r="DE230" s="18"/>
      <c r="DF230" s="18"/>
      <c r="DG230" s="18"/>
      <c r="DH230" s="18"/>
      <c r="DI230" s="18"/>
      <c r="DJ230" s="18"/>
      <c r="DK230" s="18"/>
      <c r="DL230" s="18"/>
      <c r="DM230" s="18"/>
    </row>
    <row r="231" spans="1:117" x14ac:dyDescent="0.3">
      <c r="A231" s="140"/>
      <c r="B231" s="69"/>
      <c r="C231" s="69"/>
      <c r="D231" s="69"/>
      <c r="E231" s="69"/>
      <c r="F231" s="69"/>
      <c r="G231" s="69"/>
      <c r="H231" s="69"/>
      <c r="AI231" s="7"/>
      <c r="AJ231" s="7"/>
      <c r="AK231" s="7"/>
      <c r="AL231" s="7"/>
      <c r="AM231" s="7"/>
      <c r="AN231" s="7"/>
      <c r="AO231" s="7"/>
      <c r="AP231" s="7"/>
      <c r="AQ231" s="7"/>
      <c r="AR231" s="7"/>
      <c r="AS231" s="7"/>
      <c r="AT231" s="7"/>
      <c r="AU231" s="7"/>
      <c r="AV231" s="69"/>
      <c r="AW231" s="32"/>
      <c r="BP231" s="18"/>
      <c r="BQ231" s="18"/>
      <c r="BR231" s="18"/>
      <c r="BS231" s="18"/>
      <c r="BT231" s="18"/>
      <c r="BU231" s="18"/>
      <c r="BV231" s="18"/>
      <c r="BW231" s="18"/>
      <c r="CV231" s="18"/>
      <c r="CW231" s="18"/>
      <c r="CX231" s="18"/>
      <c r="CY231" s="18"/>
      <c r="CZ231" s="18"/>
      <c r="DA231" s="18"/>
      <c r="DB231" s="18"/>
      <c r="DC231" s="18"/>
      <c r="DD231" s="18"/>
      <c r="DE231" s="18"/>
      <c r="DF231" s="18"/>
      <c r="DG231" s="18"/>
      <c r="DH231" s="18"/>
      <c r="DI231" s="18"/>
      <c r="DJ231" s="18"/>
      <c r="DK231" s="18"/>
      <c r="DL231" s="18"/>
      <c r="DM231" s="18"/>
    </row>
    <row r="232" spans="1:117" x14ac:dyDescent="0.3">
      <c r="A232" s="140"/>
      <c r="B232" s="69"/>
      <c r="C232" s="69"/>
      <c r="D232" s="69"/>
      <c r="E232" s="69"/>
      <c r="F232" s="69"/>
      <c r="G232" s="69"/>
      <c r="H232" s="69"/>
      <c r="AI232" s="7"/>
      <c r="AJ232" s="7"/>
      <c r="AK232" s="7"/>
      <c r="AL232" s="7"/>
      <c r="AM232" s="7"/>
      <c r="AN232" s="7"/>
      <c r="AO232" s="7"/>
      <c r="AP232" s="7"/>
      <c r="AQ232" s="7"/>
      <c r="AR232" s="7"/>
      <c r="AS232" s="7"/>
      <c r="AT232" s="7"/>
      <c r="AU232" s="7"/>
      <c r="AV232" s="69"/>
      <c r="AW232" s="32"/>
      <c r="BP232" s="18"/>
      <c r="BQ232" s="18"/>
      <c r="BR232" s="18"/>
      <c r="BS232" s="18"/>
      <c r="BT232" s="18"/>
      <c r="BU232" s="18"/>
      <c r="BV232" s="18"/>
      <c r="BW232" s="18"/>
      <c r="CV232" s="18"/>
      <c r="CW232" s="18"/>
      <c r="CX232" s="18"/>
      <c r="CY232" s="18"/>
      <c r="CZ232" s="18"/>
      <c r="DA232" s="18"/>
      <c r="DB232" s="18"/>
      <c r="DC232" s="18"/>
      <c r="DD232" s="18"/>
      <c r="DE232" s="18"/>
      <c r="DF232" s="18"/>
      <c r="DG232" s="18"/>
      <c r="DH232" s="18"/>
      <c r="DI232" s="18"/>
      <c r="DJ232" s="18"/>
      <c r="DK232" s="18"/>
      <c r="DL232" s="18"/>
      <c r="DM232" s="18"/>
    </row>
    <row r="233" spans="1:117" x14ac:dyDescent="0.3">
      <c r="A233" s="140"/>
      <c r="B233" s="69"/>
      <c r="C233" s="69"/>
      <c r="D233" s="69"/>
      <c r="E233" s="69"/>
      <c r="F233" s="69"/>
      <c r="G233" s="69"/>
      <c r="H233" s="69"/>
      <c r="AI233" s="7"/>
      <c r="AJ233" s="7"/>
      <c r="AK233" s="7"/>
      <c r="AL233" s="7"/>
      <c r="AM233" s="7"/>
      <c r="AN233" s="7"/>
      <c r="AO233" s="7"/>
      <c r="AP233" s="7"/>
      <c r="AQ233" s="7"/>
      <c r="AR233" s="7"/>
      <c r="AS233" s="7"/>
      <c r="AT233" s="7"/>
      <c r="AU233" s="7"/>
      <c r="AV233" s="69"/>
      <c r="AW233" s="32"/>
      <c r="BP233" s="18"/>
      <c r="BQ233" s="18"/>
      <c r="BR233" s="18"/>
      <c r="BS233" s="18"/>
      <c r="BT233" s="18"/>
      <c r="BU233" s="18"/>
      <c r="BV233" s="18"/>
      <c r="BW233" s="18"/>
      <c r="CV233" s="18"/>
      <c r="CW233" s="18"/>
      <c r="CX233" s="18"/>
      <c r="CY233" s="18"/>
      <c r="CZ233" s="18"/>
      <c r="DA233" s="18"/>
      <c r="DB233" s="18"/>
      <c r="DC233" s="18"/>
      <c r="DD233" s="18"/>
      <c r="DE233" s="18"/>
      <c r="DF233" s="18"/>
      <c r="DG233" s="18"/>
      <c r="DH233" s="18"/>
      <c r="DI233" s="18"/>
      <c r="DJ233" s="18"/>
      <c r="DK233" s="18"/>
      <c r="DL233" s="18"/>
      <c r="DM233" s="18"/>
    </row>
    <row r="234" spans="1:117" x14ac:dyDescent="0.3">
      <c r="A234" s="140"/>
      <c r="B234" s="69"/>
      <c r="C234" s="69"/>
      <c r="D234" s="69"/>
      <c r="E234" s="69"/>
      <c r="F234" s="69"/>
      <c r="G234" s="69"/>
      <c r="H234" s="69"/>
      <c r="AI234" s="7"/>
      <c r="AJ234" s="7"/>
      <c r="AK234" s="7"/>
      <c r="AL234" s="7"/>
      <c r="AM234" s="7"/>
      <c r="AN234" s="7"/>
      <c r="AO234" s="7"/>
      <c r="AP234" s="7"/>
      <c r="AQ234" s="7"/>
      <c r="AR234" s="7"/>
      <c r="AS234" s="7"/>
      <c r="AT234" s="7"/>
      <c r="AU234" s="7"/>
      <c r="AV234" s="69"/>
      <c r="AW234" s="32"/>
      <c r="BP234" s="18"/>
      <c r="BQ234" s="18"/>
      <c r="BR234" s="18"/>
      <c r="BS234" s="18"/>
      <c r="BT234" s="18"/>
      <c r="BU234" s="18"/>
      <c r="BV234" s="18"/>
      <c r="BW234" s="18"/>
      <c r="CV234" s="18"/>
      <c r="CW234" s="18"/>
      <c r="CX234" s="18"/>
      <c r="CY234" s="18"/>
      <c r="CZ234" s="18"/>
      <c r="DA234" s="18"/>
      <c r="DB234" s="18"/>
      <c r="DC234" s="18"/>
      <c r="DD234" s="18"/>
      <c r="DE234" s="18"/>
      <c r="DF234" s="18"/>
      <c r="DG234" s="18"/>
      <c r="DH234" s="18"/>
      <c r="DI234" s="18"/>
      <c r="DJ234" s="18"/>
      <c r="DK234" s="18"/>
      <c r="DL234" s="18"/>
      <c r="DM234" s="18"/>
    </row>
    <row r="235" spans="1:117" x14ac:dyDescent="0.3">
      <c r="A235" s="140"/>
      <c r="B235" s="69"/>
      <c r="C235" s="69"/>
      <c r="D235" s="69"/>
      <c r="E235" s="69"/>
      <c r="F235" s="69"/>
      <c r="G235" s="69"/>
      <c r="H235" s="69"/>
      <c r="AI235" s="7"/>
      <c r="AJ235" s="7"/>
      <c r="AK235" s="7"/>
      <c r="AL235" s="7"/>
      <c r="AM235" s="7"/>
      <c r="AN235" s="7"/>
      <c r="AO235" s="7"/>
      <c r="AP235" s="7"/>
      <c r="AQ235" s="7"/>
      <c r="AR235" s="7"/>
      <c r="AS235" s="7"/>
      <c r="AT235" s="7"/>
      <c r="AU235" s="7"/>
      <c r="AV235" s="69"/>
      <c r="AW235" s="32"/>
      <c r="BP235" s="18"/>
      <c r="BQ235" s="18"/>
      <c r="BR235" s="18"/>
      <c r="BS235" s="18"/>
      <c r="BT235" s="18"/>
      <c r="BU235" s="18"/>
      <c r="BV235" s="18"/>
      <c r="BW235" s="18"/>
      <c r="CV235" s="18"/>
      <c r="CW235" s="18"/>
      <c r="CX235" s="18"/>
      <c r="CY235" s="18"/>
      <c r="CZ235" s="18"/>
      <c r="DA235" s="18"/>
      <c r="DB235" s="18"/>
      <c r="DC235" s="18"/>
      <c r="DD235" s="18"/>
      <c r="DE235" s="18"/>
      <c r="DF235" s="18"/>
      <c r="DG235" s="18"/>
      <c r="DH235" s="18"/>
      <c r="DI235" s="18"/>
      <c r="DJ235" s="18"/>
      <c r="DK235" s="18"/>
      <c r="DL235" s="18"/>
      <c r="DM235" s="18"/>
    </row>
    <row r="236" spans="1:117" x14ac:dyDescent="0.3">
      <c r="A236" s="140"/>
      <c r="B236" s="69"/>
      <c r="C236" s="69"/>
      <c r="D236" s="69"/>
      <c r="E236" s="69"/>
      <c r="F236" s="69"/>
      <c r="G236" s="69"/>
      <c r="H236" s="69"/>
      <c r="AI236" s="7"/>
      <c r="AJ236" s="7"/>
      <c r="AK236" s="7"/>
      <c r="AL236" s="7"/>
      <c r="AM236" s="7"/>
      <c r="AN236" s="7"/>
      <c r="AO236" s="7"/>
      <c r="AP236" s="7"/>
      <c r="AQ236" s="7"/>
      <c r="AR236" s="7"/>
      <c r="AS236" s="7"/>
      <c r="AT236" s="7"/>
      <c r="AU236" s="7"/>
      <c r="AV236" s="69"/>
      <c r="AW236" s="32"/>
      <c r="BP236" s="18"/>
      <c r="BQ236" s="18"/>
      <c r="BR236" s="18"/>
      <c r="BS236" s="18"/>
      <c r="BT236" s="18"/>
      <c r="BU236" s="18"/>
      <c r="BV236" s="18"/>
      <c r="BW236" s="18"/>
      <c r="CV236" s="18"/>
      <c r="CW236" s="18"/>
      <c r="CX236" s="18"/>
      <c r="CY236" s="18"/>
      <c r="CZ236" s="18"/>
      <c r="DA236" s="18"/>
      <c r="DB236" s="18"/>
      <c r="DC236" s="18"/>
      <c r="DD236" s="18"/>
      <c r="DE236" s="18"/>
      <c r="DF236" s="18"/>
      <c r="DG236" s="18"/>
      <c r="DH236" s="18"/>
      <c r="DI236" s="18"/>
      <c r="DJ236" s="18"/>
      <c r="DK236" s="18"/>
      <c r="DL236" s="18"/>
      <c r="DM236" s="18"/>
    </row>
    <row r="237" spans="1:117" x14ac:dyDescent="0.3">
      <c r="A237" s="140"/>
      <c r="B237" s="69"/>
      <c r="C237" s="69"/>
      <c r="D237" s="69"/>
      <c r="E237" s="69"/>
      <c r="F237" s="69"/>
      <c r="G237" s="69"/>
      <c r="H237" s="69"/>
      <c r="AI237" s="7"/>
      <c r="AJ237" s="7"/>
      <c r="AK237" s="7"/>
      <c r="AL237" s="7"/>
      <c r="AM237" s="7"/>
      <c r="AN237" s="7"/>
      <c r="AO237" s="7"/>
      <c r="AP237" s="7"/>
      <c r="AQ237" s="7"/>
      <c r="AR237" s="7"/>
      <c r="AS237" s="7"/>
      <c r="AT237" s="7"/>
      <c r="AU237" s="7"/>
      <c r="AV237" s="69"/>
      <c r="AW237" s="32"/>
      <c r="BP237" s="18"/>
      <c r="BQ237" s="18"/>
      <c r="BR237" s="18"/>
      <c r="BS237" s="18"/>
      <c r="BT237" s="18"/>
      <c r="BU237" s="18"/>
      <c r="BV237" s="18"/>
      <c r="BW237" s="18"/>
      <c r="CV237" s="18"/>
      <c r="CW237" s="18"/>
      <c r="CX237" s="18"/>
      <c r="CY237" s="18"/>
      <c r="CZ237" s="18"/>
      <c r="DA237" s="18"/>
      <c r="DB237" s="18"/>
      <c r="DC237" s="18"/>
      <c r="DD237" s="18"/>
      <c r="DE237" s="18"/>
      <c r="DF237" s="18"/>
      <c r="DG237" s="18"/>
      <c r="DH237" s="18"/>
      <c r="DI237" s="18"/>
      <c r="DJ237" s="18"/>
      <c r="DK237" s="18"/>
      <c r="DL237" s="18"/>
      <c r="DM237" s="18"/>
    </row>
    <row r="238" spans="1:117" x14ac:dyDescent="0.3">
      <c r="A238" s="140"/>
      <c r="B238" s="18"/>
      <c r="C238" s="69"/>
      <c r="D238" s="69"/>
      <c r="E238" s="69"/>
      <c r="F238" s="69"/>
      <c r="G238" s="69"/>
      <c r="H238" s="69"/>
      <c r="AI238" s="7"/>
      <c r="AJ238" s="7"/>
      <c r="AK238" s="7"/>
      <c r="AL238" s="7"/>
      <c r="AM238" s="7"/>
      <c r="AN238" s="7"/>
      <c r="AO238" s="7"/>
      <c r="AP238" s="7"/>
      <c r="AQ238" s="7"/>
      <c r="AR238" s="7"/>
      <c r="AS238" s="7"/>
      <c r="AT238" s="7"/>
      <c r="AU238" s="7"/>
      <c r="AV238" s="69"/>
      <c r="AW238" s="32"/>
      <c r="BP238" s="18"/>
      <c r="BQ238" s="18"/>
      <c r="BR238" s="18"/>
      <c r="BS238" s="18"/>
      <c r="BT238" s="18"/>
      <c r="BU238" s="18"/>
      <c r="BV238" s="18"/>
      <c r="BW238" s="18"/>
      <c r="CV238" s="18"/>
      <c r="CW238" s="18"/>
      <c r="CX238" s="18"/>
      <c r="CY238" s="18"/>
      <c r="CZ238" s="18"/>
      <c r="DA238" s="18"/>
      <c r="DB238" s="18"/>
      <c r="DC238" s="18"/>
      <c r="DD238" s="18"/>
      <c r="DE238" s="18"/>
      <c r="DF238" s="18"/>
      <c r="DG238" s="18"/>
      <c r="DH238" s="18"/>
      <c r="DI238" s="18"/>
      <c r="DJ238" s="18"/>
      <c r="DK238" s="18"/>
      <c r="DL238" s="18"/>
      <c r="DM238" s="18"/>
    </row>
    <row r="239" spans="1:117" x14ac:dyDescent="0.3">
      <c r="A239" s="140"/>
      <c r="B239" s="18"/>
      <c r="C239" s="69"/>
      <c r="D239" s="69"/>
      <c r="E239" s="69"/>
      <c r="F239" s="69"/>
      <c r="G239" s="69"/>
      <c r="H239" s="69"/>
      <c r="AI239" s="7"/>
      <c r="AJ239" s="7"/>
      <c r="AK239" s="7"/>
      <c r="AL239" s="7"/>
      <c r="AM239" s="7"/>
      <c r="AN239" s="7"/>
      <c r="AO239" s="7"/>
      <c r="AP239" s="7"/>
      <c r="AQ239" s="7"/>
      <c r="AR239" s="7"/>
      <c r="AS239" s="7"/>
      <c r="AT239" s="7"/>
      <c r="AU239" s="7"/>
      <c r="AV239" s="69"/>
      <c r="AW239" s="32"/>
      <c r="BP239" s="18"/>
      <c r="BQ239" s="18"/>
      <c r="BR239" s="18"/>
      <c r="BS239" s="18"/>
      <c r="BT239" s="18"/>
      <c r="BU239" s="18"/>
      <c r="BV239" s="18"/>
      <c r="BW239" s="18"/>
      <c r="CV239" s="18"/>
      <c r="CW239" s="18"/>
      <c r="CX239" s="18"/>
      <c r="CY239" s="18"/>
      <c r="CZ239" s="18"/>
      <c r="DA239" s="18"/>
      <c r="DB239" s="18"/>
      <c r="DC239" s="18"/>
      <c r="DD239" s="18"/>
      <c r="DE239" s="18"/>
      <c r="DF239" s="18"/>
      <c r="DG239" s="18"/>
      <c r="DH239" s="18"/>
      <c r="DI239" s="18"/>
      <c r="DJ239" s="18"/>
      <c r="DK239" s="18"/>
      <c r="DL239" s="18"/>
      <c r="DM239" s="18"/>
    </row>
    <row r="240" spans="1:117" x14ac:dyDescent="0.3">
      <c r="A240" s="140"/>
      <c r="B240" s="18"/>
      <c r="C240" s="69"/>
      <c r="D240" s="69"/>
      <c r="E240" s="69"/>
      <c r="F240" s="69"/>
      <c r="G240" s="69"/>
      <c r="H240" s="69"/>
      <c r="AI240" s="7"/>
      <c r="AJ240" s="7"/>
      <c r="AK240" s="7"/>
      <c r="AL240" s="7"/>
      <c r="AM240" s="7"/>
      <c r="AN240" s="7"/>
      <c r="AO240" s="7"/>
      <c r="AP240" s="7"/>
      <c r="AQ240" s="7"/>
      <c r="AR240" s="7"/>
      <c r="AS240" s="7"/>
      <c r="AT240" s="7"/>
      <c r="AU240" s="7"/>
      <c r="AV240" s="69"/>
      <c r="AW240" s="32"/>
      <c r="BP240" s="18"/>
      <c r="BQ240" s="18"/>
      <c r="BR240" s="18"/>
      <c r="BS240" s="18"/>
      <c r="BT240" s="18"/>
      <c r="BU240" s="18"/>
      <c r="BV240" s="18"/>
      <c r="BW240" s="18"/>
      <c r="CV240" s="18"/>
      <c r="CW240" s="18"/>
      <c r="CX240" s="18"/>
      <c r="CY240" s="18"/>
      <c r="CZ240" s="18"/>
      <c r="DA240" s="18"/>
      <c r="DB240" s="18"/>
      <c r="DC240" s="18"/>
      <c r="DD240" s="18"/>
      <c r="DE240" s="18"/>
      <c r="DF240" s="18"/>
      <c r="DG240" s="18"/>
      <c r="DH240" s="18"/>
      <c r="DI240" s="18"/>
      <c r="DJ240" s="18"/>
      <c r="DK240" s="18"/>
      <c r="DL240" s="18"/>
      <c r="DM240" s="18"/>
    </row>
    <row r="241" spans="1:117" x14ac:dyDescent="0.3">
      <c r="A241" s="140"/>
      <c r="B241" s="18"/>
      <c r="C241" s="69"/>
      <c r="D241" s="69"/>
      <c r="E241" s="69"/>
      <c r="F241" s="69"/>
      <c r="G241" s="69"/>
      <c r="H241" s="69"/>
      <c r="AI241" s="7"/>
      <c r="AJ241" s="7"/>
      <c r="AK241" s="7"/>
      <c r="AL241" s="7"/>
      <c r="AM241" s="7"/>
      <c r="AN241" s="7"/>
      <c r="AO241" s="7"/>
      <c r="AP241" s="7"/>
      <c r="AQ241" s="7"/>
      <c r="AR241" s="7"/>
      <c r="AS241" s="7"/>
      <c r="AT241" s="7"/>
      <c r="AU241" s="7"/>
      <c r="AV241" s="69"/>
      <c r="AW241" s="32"/>
      <c r="BP241" s="18"/>
      <c r="BQ241" s="18"/>
      <c r="BR241" s="18"/>
      <c r="BS241" s="18"/>
      <c r="BT241" s="18"/>
      <c r="BU241" s="18"/>
      <c r="BV241" s="18"/>
      <c r="BW241" s="18"/>
      <c r="CV241" s="18"/>
      <c r="CW241" s="18"/>
      <c r="CX241" s="18"/>
      <c r="CY241" s="18"/>
      <c r="CZ241" s="18"/>
      <c r="DA241" s="18"/>
      <c r="DB241" s="18"/>
      <c r="DC241" s="18"/>
      <c r="DD241" s="18"/>
      <c r="DE241" s="18"/>
      <c r="DF241" s="18"/>
      <c r="DG241" s="18"/>
      <c r="DH241" s="18"/>
      <c r="DI241" s="18"/>
      <c r="DJ241" s="18"/>
      <c r="DK241" s="18"/>
      <c r="DL241" s="18"/>
      <c r="DM241" s="18"/>
    </row>
    <row r="242" spans="1:117" x14ac:dyDescent="0.3">
      <c r="A242" s="140"/>
      <c r="B242" s="18"/>
      <c r="C242" s="69"/>
      <c r="D242" s="69"/>
      <c r="E242" s="69"/>
      <c r="F242" s="69"/>
      <c r="G242" s="69"/>
      <c r="H242" s="69"/>
      <c r="AI242" s="7"/>
      <c r="AJ242" s="7"/>
      <c r="AK242" s="7"/>
      <c r="AL242" s="7"/>
      <c r="AM242" s="7"/>
      <c r="AN242" s="7"/>
      <c r="AO242" s="7"/>
      <c r="AP242" s="7"/>
      <c r="AQ242" s="7"/>
      <c r="AR242" s="7"/>
      <c r="AS242" s="7"/>
      <c r="AT242" s="7"/>
      <c r="AU242" s="7"/>
      <c r="AV242" s="69"/>
      <c r="AW242" s="32"/>
      <c r="BP242" s="18"/>
      <c r="BQ242" s="18"/>
      <c r="BR242" s="18"/>
      <c r="BS242" s="18"/>
      <c r="BT242" s="18"/>
      <c r="BU242" s="18"/>
      <c r="BV242" s="18"/>
      <c r="BW242" s="18"/>
      <c r="CV242" s="18"/>
      <c r="CW242" s="18"/>
      <c r="CX242" s="18"/>
      <c r="CY242" s="18"/>
      <c r="CZ242" s="18"/>
      <c r="DA242" s="18"/>
      <c r="DB242" s="18"/>
      <c r="DC242" s="18"/>
      <c r="DD242" s="18"/>
      <c r="DE242" s="18"/>
      <c r="DF242" s="18"/>
      <c r="DG242" s="18"/>
      <c r="DH242" s="18"/>
      <c r="DI242" s="18"/>
      <c r="DJ242" s="18"/>
      <c r="DK242" s="18"/>
      <c r="DL242" s="18"/>
      <c r="DM242" s="18"/>
    </row>
    <row r="243" spans="1:117" x14ac:dyDescent="0.3">
      <c r="A243" s="140"/>
      <c r="B243" s="18"/>
      <c r="C243" s="69"/>
      <c r="D243" s="69"/>
      <c r="E243" s="69"/>
      <c r="F243" s="69"/>
      <c r="G243" s="69"/>
      <c r="H243" s="69"/>
      <c r="AI243" s="7"/>
      <c r="AJ243" s="7"/>
      <c r="AK243" s="7"/>
      <c r="AL243" s="7"/>
      <c r="AM243" s="7"/>
      <c r="AN243" s="7"/>
      <c r="AO243" s="7"/>
      <c r="AP243" s="7"/>
      <c r="AQ243" s="7"/>
      <c r="AR243" s="7"/>
      <c r="AS243" s="7"/>
      <c r="AT243" s="7"/>
      <c r="AU243" s="7"/>
      <c r="AV243" s="69"/>
      <c r="AW243" s="32"/>
      <c r="BP243" s="18"/>
      <c r="BQ243" s="18"/>
      <c r="BR243" s="18"/>
      <c r="BS243" s="18"/>
      <c r="BT243" s="18"/>
      <c r="BU243" s="18"/>
      <c r="BV243" s="18"/>
      <c r="BW243" s="18"/>
      <c r="CV243" s="18"/>
      <c r="CW243" s="18"/>
      <c r="CX243" s="18"/>
      <c r="CY243" s="18"/>
      <c r="CZ243" s="18"/>
      <c r="DA243" s="18"/>
      <c r="DB243" s="18"/>
      <c r="DC243" s="18"/>
      <c r="DD243" s="18"/>
      <c r="DE243" s="18"/>
      <c r="DF243" s="18"/>
      <c r="DG243" s="18"/>
      <c r="DH243" s="18"/>
      <c r="DI243" s="18"/>
      <c r="DJ243" s="18"/>
      <c r="DK243" s="18"/>
      <c r="DL243" s="18"/>
      <c r="DM243" s="18"/>
    </row>
    <row r="244" spans="1:117" x14ac:dyDescent="0.3">
      <c r="A244" s="140"/>
      <c r="B244" s="18"/>
      <c r="C244" s="69"/>
      <c r="D244" s="69"/>
      <c r="E244" s="69"/>
      <c r="F244" s="69"/>
      <c r="G244" s="69"/>
      <c r="H244" s="69"/>
      <c r="AI244" s="7"/>
      <c r="AJ244" s="7"/>
      <c r="AK244" s="7"/>
      <c r="AL244" s="7"/>
      <c r="AM244" s="7"/>
      <c r="AN244" s="7"/>
      <c r="AO244" s="7"/>
      <c r="AP244" s="7"/>
      <c r="AQ244" s="7"/>
      <c r="AR244" s="7"/>
      <c r="AS244" s="7"/>
      <c r="AT244" s="7"/>
      <c r="AU244" s="7"/>
      <c r="AV244" s="69"/>
      <c r="AW244" s="32"/>
      <c r="BP244" s="18"/>
      <c r="BQ244" s="18"/>
      <c r="BR244" s="18"/>
      <c r="BS244" s="18"/>
      <c r="BT244" s="18"/>
      <c r="BU244" s="18"/>
      <c r="BV244" s="18"/>
      <c r="BW244" s="18"/>
      <c r="CV244" s="18"/>
      <c r="CW244" s="18"/>
      <c r="CX244" s="18"/>
      <c r="CY244" s="18"/>
      <c r="CZ244" s="18"/>
      <c r="DA244" s="18"/>
      <c r="DB244" s="18"/>
      <c r="DC244" s="18"/>
      <c r="DD244" s="18"/>
      <c r="DE244" s="18"/>
      <c r="DF244" s="18"/>
      <c r="DG244" s="18"/>
      <c r="DH244" s="18"/>
      <c r="DI244" s="18"/>
      <c r="DJ244" s="18"/>
      <c r="DK244" s="18"/>
      <c r="DL244" s="18"/>
      <c r="DM244" s="18"/>
    </row>
    <row r="245" spans="1:117" x14ac:dyDescent="0.3">
      <c r="A245" s="140"/>
      <c r="B245" s="18"/>
      <c r="C245" s="69"/>
      <c r="D245" s="69"/>
      <c r="E245" s="69"/>
      <c r="F245" s="69"/>
      <c r="G245" s="69"/>
      <c r="H245" s="69"/>
      <c r="AI245" s="7"/>
      <c r="AJ245" s="7"/>
      <c r="AK245" s="7"/>
      <c r="AL245" s="7"/>
      <c r="AM245" s="7"/>
      <c r="AN245" s="7"/>
      <c r="AO245" s="7"/>
      <c r="AP245" s="7"/>
      <c r="AQ245" s="7"/>
      <c r="AR245" s="7"/>
      <c r="AS245" s="7"/>
      <c r="AT245" s="7"/>
      <c r="AU245" s="7"/>
      <c r="AV245" s="69"/>
      <c r="AW245" s="32"/>
      <c r="BP245" s="18"/>
      <c r="BQ245" s="18"/>
      <c r="BR245" s="18"/>
      <c r="BS245" s="18"/>
      <c r="BT245" s="18"/>
      <c r="BU245" s="18"/>
      <c r="BV245" s="18"/>
      <c r="BW245" s="18"/>
      <c r="CV245" s="18"/>
      <c r="CW245" s="18"/>
      <c r="CX245" s="18"/>
      <c r="CY245" s="18"/>
      <c r="CZ245" s="18"/>
      <c r="DA245" s="18"/>
      <c r="DB245" s="18"/>
      <c r="DC245" s="18"/>
      <c r="DD245" s="18"/>
      <c r="DE245" s="18"/>
      <c r="DF245" s="18"/>
      <c r="DG245" s="18"/>
      <c r="DH245" s="18"/>
      <c r="DI245" s="18"/>
      <c r="DJ245" s="18"/>
      <c r="DK245" s="18"/>
      <c r="DL245" s="18"/>
      <c r="DM245" s="18"/>
    </row>
    <row r="246" spans="1:117" x14ac:dyDescent="0.3">
      <c r="A246" s="140"/>
      <c r="B246" s="18"/>
      <c r="C246" s="69"/>
      <c r="D246" s="69"/>
      <c r="E246" s="69"/>
      <c r="F246" s="69"/>
      <c r="G246" s="69"/>
      <c r="H246" s="69"/>
      <c r="AI246" s="7"/>
      <c r="AJ246" s="7"/>
      <c r="AK246" s="7"/>
      <c r="AL246" s="7"/>
      <c r="AM246" s="7"/>
      <c r="AN246" s="7"/>
      <c r="AO246" s="7"/>
      <c r="AP246" s="7"/>
      <c r="AQ246" s="7"/>
      <c r="AR246" s="7"/>
      <c r="AS246" s="7"/>
      <c r="AT246" s="7"/>
      <c r="AU246" s="7"/>
      <c r="AV246" s="69"/>
      <c r="AW246" s="32"/>
      <c r="BP246" s="18"/>
      <c r="BQ246" s="18"/>
      <c r="BR246" s="18"/>
      <c r="BS246" s="18"/>
      <c r="BT246" s="18"/>
      <c r="BU246" s="18"/>
      <c r="BV246" s="18"/>
      <c r="BW246" s="18"/>
      <c r="CV246" s="18"/>
      <c r="CW246" s="18"/>
      <c r="CX246" s="18"/>
      <c r="CY246" s="18"/>
      <c r="CZ246" s="18"/>
      <c r="DA246" s="18"/>
      <c r="DB246" s="18"/>
      <c r="DC246" s="18"/>
      <c r="DD246" s="18"/>
      <c r="DE246" s="18"/>
      <c r="DF246" s="18"/>
      <c r="DG246" s="18"/>
      <c r="DH246" s="18"/>
      <c r="DI246" s="18"/>
      <c r="DJ246" s="18"/>
      <c r="DK246" s="18"/>
      <c r="DL246" s="18"/>
      <c r="DM246" s="18"/>
    </row>
    <row r="247" spans="1:117" x14ac:dyDescent="0.3">
      <c r="A247" s="140"/>
      <c r="B247" s="18"/>
      <c r="C247" s="69"/>
      <c r="D247" s="69"/>
      <c r="E247" s="69"/>
      <c r="F247" s="69"/>
      <c r="G247" s="69"/>
      <c r="H247" s="69"/>
      <c r="AI247" s="7"/>
      <c r="AJ247" s="7"/>
      <c r="AK247" s="7"/>
      <c r="AL247" s="7"/>
      <c r="AM247" s="7"/>
      <c r="AN247" s="7"/>
      <c r="AO247" s="7"/>
      <c r="AP247" s="7"/>
      <c r="AQ247" s="7"/>
      <c r="AR247" s="7"/>
      <c r="AS247" s="7"/>
      <c r="AT247" s="7"/>
      <c r="AU247" s="7"/>
      <c r="AV247" s="69"/>
      <c r="AW247" s="32"/>
      <c r="BP247" s="18"/>
      <c r="BQ247" s="18"/>
      <c r="BR247" s="18"/>
      <c r="BS247" s="18"/>
      <c r="BT247" s="18"/>
      <c r="BU247" s="18"/>
      <c r="BV247" s="18"/>
      <c r="BW247" s="18"/>
      <c r="CV247" s="18"/>
      <c r="CW247" s="18"/>
      <c r="CX247" s="18"/>
      <c r="CY247" s="18"/>
      <c r="CZ247" s="18"/>
      <c r="DA247" s="18"/>
      <c r="DB247" s="18"/>
      <c r="DC247" s="18"/>
      <c r="DD247" s="18"/>
      <c r="DE247" s="18"/>
      <c r="DF247" s="18"/>
      <c r="DG247" s="18"/>
      <c r="DH247" s="18"/>
      <c r="DI247" s="18"/>
      <c r="DJ247" s="18"/>
      <c r="DK247" s="18"/>
      <c r="DL247" s="18"/>
      <c r="DM247" s="18"/>
    </row>
    <row r="248" spans="1:117" x14ac:dyDescent="0.3">
      <c r="A248" s="140"/>
      <c r="B248" s="18"/>
      <c r="C248" s="69"/>
      <c r="D248" s="69"/>
      <c r="E248" s="69"/>
      <c r="F248" s="69"/>
      <c r="G248" s="69"/>
      <c r="H248" s="69"/>
      <c r="AI248" s="7"/>
      <c r="AJ248" s="7"/>
      <c r="AK248" s="7"/>
      <c r="AL248" s="7"/>
      <c r="AM248" s="7"/>
      <c r="AN248" s="7"/>
      <c r="AO248" s="7"/>
      <c r="AP248" s="7"/>
      <c r="AQ248" s="7"/>
      <c r="AR248" s="7"/>
      <c r="AS248" s="7"/>
      <c r="AT248" s="7"/>
      <c r="AU248" s="7"/>
      <c r="AV248" s="69"/>
      <c r="AW248" s="32"/>
      <c r="BP248" s="18"/>
      <c r="BQ248" s="18"/>
      <c r="BR248" s="18"/>
      <c r="BS248" s="18"/>
      <c r="BT248" s="18"/>
      <c r="BU248" s="18"/>
      <c r="BV248" s="18"/>
      <c r="BW248" s="18"/>
      <c r="CV248" s="18"/>
      <c r="CW248" s="18"/>
      <c r="CX248" s="18"/>
      <c r="CY248" s="18"/>
      <c r="CZ248" s="18"/>
      <c r="DA248" s="18"/>
      <c r="DB248" s="18"/>
      <c r="DC248" s="18"/>
      <c r="DD248" s="18"/>
      <c r="DE248" s="18"/>
      <c r="DF248" s="18"/>
      <c r="DG248" s="18"/>
      <c r="DH248" s="18"/>
      <c r="DI248" s="18"/>
      <c r="DJ248" s="18"/>
      <c r="DK248" s="18"/>
      <c r="DL248" s="18"/>
      <c r="DM248" s="18"/>
    </row>
    <row r="249" spans="1:117" x14ac:dyDescent="0.3">
      <c r="A249" s="140"/>
      <c r="B249" s="18"/>
      <c r="C249" s="69"/>
      <c r="D249" s="69"/>
      <c r="E249" s="69"/>
      <c r="F249" s="69"/>
      <c r="G249" s="69"/>
      <c r="H249" s="69"/>
      <c r="AI249" s="7"/>
      <c r="AJ249" s="7"/>
      <c r="AK249" s="7"/>
      <c r="AL249" s="7"/>
      <c r="AM249" s="7"/>
      <c r="AN249" s="7"/>
      <c r="AO249" s="7"/>
      <c r="AP249" s="7"/>
      <c r="AQ249" s="7"/>
      <c r="AR249" s="7"/>
      <c r="AS249" s="7"/>
      <c r="AT249" s="7"/>
      <c r="AU249" s="7"/>
      <c r="AV249" s="69"/>
      <c r="AW249" s="32"/>
      <c r="BP249" s="18"/>
      <c r="BQ249" s="18"/>
      <c r="BR249" s="18"/>
      <c r="BS249" s="18"/>
      <c r="BT249" s="18"/>
      <c r="BU249" s="18"/>
      <c r="BV249" s="18"/>
      <c r="BW249" s="18"/>
      <c r="CV249" s="18"/>
      <c r="CW249" s="18"/>
      <c r="CX249" s="18"/>
      <c r="CY249" s="18"/>
      <c r="CZ249" s="18"/>
      <c r="DA249" s="18"/>
      <c r="DB249" s="18"/>
      <c r="DC249" s="18"/>
      <c r="DD249" s="18"/>
      <c r="DE249" s="18"/>
      <c r="DF249" s="18"/>
      <c r="DG249" s="18"/>
      <c r="DH249" s="18"/>
      <c r="DI249" s="18"/>
      <c r="DJ249" s="18"/>
      <c r="DK249" s="18"/>
      <c r="DL249" s="18"/>
      <c r="DM249" s="18"/>
    </row>
    <row r="250" spans="1:117" x14ac:dyDescent="0.3">
      <c r="A250" s="140"/>
      <c r="B250" s="18"/>
      <c r="C250" s="69"/>
      <c r="D250" s="69"/>
      <c r="E250" s="69"/>
      <c r="F250" s="69"/>
      <c r="G250" s="69"/>
      <c r="H250" s="69"/>
      <c r="AI250" s="7"/>
      <c r="AJ250" s="7"/>
      <c r="AK250" s="7"/>
      <c r="AL250" s="7"/>
      <c r="AM250" s="7"/>
      <c r="AN250" s="7"/>
      <c r="AO250" s="7"/>
      <c r="AP250" s="7"/>
      <c r="AQ250" s="7"/>
      <c r="AR250" s="7"/>
      <c r="AS250" s="7"/>
      <c r="AT250" s="7"/>
      <c r="AU250" s="7"/>
      <c r="AV250" s="69"/>
      <c r="AW250" s="32"/>
      <c r="BP250" s="18"/>
      <c r="BQ250" s="18"/>
      <c r="BR250" s="18"/>
      <c r="BS250" s="18"/>
      <c r="BT250" s="18"/>
      <c r="BU250" s="18"/>
      <c r="BV250" s="18"/>
      <c r="BW250" s="18"/>
      <c r="CV250" s="18"/>
      <c r="CW250" s="18"/>
      <c r="CX250" s="18"/>
      <c r="CY250" s="18"/>
      <c r="CZ250" s="18"/>
      <c r="DA250" s="18"/>
      <c r="DB250" s="18"/>
      <c r="DC250" s="18"/>
      <c r="DD250" s="18"/>
      <c r="DE250" s="18"/>
      <c r="DF250" s="18"/>
      <c r="DG250" s="18"/>
      <c r="DH250" s="18"/>
      <c r="DI250" s="18"/>
      <c r="DJ250" s="18"/>
      <c r="DK250" s="18"/>
      <c r="DL250" s="18"/>
      <c r="DM250" s="18"/>
    </row>
    <row r="251" spans="1:117" x14ac:dyDescent="0.3">
      <c r="A251" s="140"/>
      <c r="B251" s="18"/>
      <c r="C251" s="69"/>
      <c r="D251" s="69"/>
      <c r="E251" s="69"/>
      <c r="F251" s="69"/>
      <c r="G251" s="69"/>
      <c r="H251" s="69"/>
      <c r="AI251" s="7"/>
      <c r="AJ251" s="7"/>
      <c r="AK251" s="7"/>
      <c r="AL251" s="7"/>
      <c r="AM251" s="7"/>
      <c r="AN251" s="7"/>
      <c r="AO251" s="7"/>
      <c r="AP251" s="7"/>
      <c r="AQ251" s="7"/>
      <c r="AR251" s="7"/>
      <c r="AS251" s="7"/>
      <c r="AT251" s="7"/>
      <c r="AU251" s="7"/>
      <c r="AV251" s="69"/>
      <c r="AW251" s="32"/>
      <c r="BP251" s="18"/>
      <c r="BQ251" s="18"/>
      <c r="BR251" s="18"/>
      <c r="BS251" s="18"/>
      <c r="BT251" s="18"/>
      <c r="BU251" s="18"/>
      <c r="BV251" s="18"/>
      <c r="BW251" s="18"/>
      <c r="CV251" s="18"/>
      <c r="CW251" s="18"/>
      <c r="CX251" s="18"/>
      <c r="CY251" s="18"/>
      <c r="CZ251" s="18"/>
      <c r="DA251" s="18"/>
      <c r="DB251" s="18"/>
      <c r="DC251" s="18"/>
      <c r="DD251" s="18"/>
      <c r="DE251" s="18"/>
      <c r="DF251" s="18"/>
      <c r="DG251" s="18"/>
      <c r="DH251" s="18"/>
      <c r="DI251" s="18"/>
      <c r="DJ251" s="18"/>
      <c r="DK251" s="18"/>
      <c r="DL251" s="18"/>
      <c r="DM251" s="18"/>
    </row>
    <row r="252" spans="1:117" x14ac:dyDescent="0.3">
      <c r="A252" s="140"/>
      <c r="B252" s="18"/>
      <c r="C252" s="69"/>
      <c r="D252" s="69"/>
      <c r="E252" s="69"/>
      <c r="F252" s="69"/>
      <c r="G252" s="69"/>
      <c r="H252" s="69"/>
      <c r="AI252" s="7"/>
      <c r="AJ252" s="7"/>
      <c r="AK252" s="7"/>
      <c r="AL252" s="7"/>
      <c r="AM252" s="7"/>
      <c r="AN252" s="7"/>
      <c r="AO252" s="7"/>
      <c r="AP252" s="7"/>
      <c r="AQ252" s="7"/>
      <c r="AR252" s="7"/>
      <c r="AS252" s="7"/>
      <c r="AT252" s="7"/>
      <c r="AU252" s="7"/>
      <c r="AV252" s="69"/>
      <c r="AW252" s="32"/>
      <c r="BP252" s="18"/>
      <c r="BQ252" s="18"/>
      <c r="BR252" s="18"/>
      <c r="BS252" s="18"/>
      <c r="BT252" s="18"/>
      <c r="BU252" s="18"/>
      <c r="BV252" s="18"/>
      <c r="BW252" s="18"/>
      <c r="CV252" s="18"/>
      <c r="CW252" s="18"/>
      <c r="CX252" s="18"/>
      <c r="CY252" s="18"/>
      <c r="CZ252" s="18"/>
      <c r="DA252" s="18"/>
      <c r="DB252" s="18"/>
      <c r="DC252" s="18"/>
      <c r="DD252" s="18"/>
      <c r="DE252" s="18"/>
      <c r="DF252" s="18"/>
      <c r="DG252" s="18"/>
      <c r="DH252" s="18"/>
      <c r="DI252" s="18"/>
      <c r="DJ252" s="18"/>
      <c r="DK252" s="18"/>
      <c r="DL252" s="18"/>
      <c r="DM252" s="18"/>
    </row>
    <row r="253" spans="1:117" x14ac:dyDescent="0.3">
      <c r="A253" s="140"/>
      <c r="B253" s="18"/>
      <c r="C253" s="69"/>
      <c r="D253" s="69"/>
      <c r="E253" s="69"/>
      <c r="F253" s="69"/>
      <c r="G253" s="69"/>
      <c r="H253" s="69"/>
      <c r="AI253" s="7"/>
      <c r="AJ253" s="7"/>
      <c r="AK253" s="7"/>
      <c r="AL253" s="7"/>
      <c r="AM253" s="7"/>
      <c r="AN253" s="7"/>
      <c r="AO253" s="7"/>
      <c r="AP253" s="7"/>
      <c r="AQ253" s="7"/>
      <c r="AR253" s="7"/>
      <c r="AS253" s="7"/>
      <c r="AT253" s="7"/>
      <c r="AU253" s="7"/>
      <c r="AV253" s="69"/>
      <c r="AW253" s="32"/>
      <c r="BP253" s="18"/>
      <c r="BQ253" s="18"/>
      <c r="BR253" s="18"/>
      <c r="BS253" s="18"/>
      <c r="BT253" s="18"/>
      <c r="BU253" s="18"/>
      <c r="BV253" s="18"/>
      <c r="BW253" s="18"/>
      <c r="CV253" s="18"/>
      <c r="CW253" s="18"/>
      <c r="CX253" s="18"/>
      <c r="CY253" s="18"/>
      <c r="CZ253" s="18"/>
      <c r="DA253" s="18"/>
      <c r="DB253" s="18"/>
      <c r="DC253" s="18"/>
      <c r="DD253" s="18"/>
      <c r="DE253" s="18"/>
      <c r="DF253" s="18"/>
      <c r="DG253" s="18"/>
      <c r="DH253" s="18"/>
      <c r="DI253" s="18"/>
      <c r="DJ253" s="18"/>
      <c r="DK253" s="18"/>
      <c r="DL253" s="18"/>
      <c r="DM253" s="18"/>
    </row>
    <row r="254" spans="1:117" x14ac:dyDescent="0.3">
      <c r="A254" s="140"/>
      <c r="B254" s="18"/>
      <c r="C254" s="69"/>
      <c r="D254" s="69"/>
      <c r="E254" s="69"/>
      <c r="F254" s="69"/>
      <c r="G254" s="69"/>
      <c r="H254" s="69"/>
      <c r="AI254" s="7"/>
      <c r="AJ254" s="7"/>
      <c r="AK254" s="7"/>
      <c r="AL254" s="7"/>
      <c r="AM254" s="7"/>
      <c r="AN254" s="7"/>
      <c r="AO254" s="7"/>
      <c r="AP254" s="7"/>
      <c r="AQ254" s="7"/>
      <c r="AR254" s="7"/>
      <c r="AS254" s="7"/>
      <c r="AT254" s="7"/>
      <c r="AU254" s="7"/>
      <c r="AV254" s="69"/>
      <c r="AW254" s="32"/>
      <c r="BP254" s="18"/>
      <c r="BQ254" s="18"/>
      <c r="BR254" s="18"/>
      <c r="BS254" s="18"/>
      <c r="BT254" s="18"/>
      <c r="BU254" s="18"/>
      <c r="BV254" s="18"/>
      <c r="BW254" s="18"/>
      <c r="CV254" s="18"/>
      <c r="CW254" s="18"/>
      <c r="CX254" s="18"/>
      <c r="CY254" s="18"/>
      <c r="CZ254" s="18"/>
      <c r="DA254" s="18"/>
      <c r="DB254" s="18"/>
      <c r="DC254" s="18"/>
      <c r="DD254" s="18"/>
      <c r="DE254" s="18"/>
      <c r="DF254" s="18"/>
      <c r="DG254" s="18"/>
      <c r="DH254" s="18"/>
      <c r="DI254" s="18"/>
      <c r="DJ254" s="18"/>
      <c r="DK254" s="18"/>
      <c r="DL254" s="18"/>
      <c r="DM254" s="18"/>
    </row>
    <row r="255" spans="1:117" x14ac:dyDescent="0.3">
      <c r="A255" s="140"/>
      <c r="B255" s="18"/>
      <c r="C255" s="69"/>
      <c r="D255" s="69"/>
      <c r="E255" s="69"/>
      <c r="F255" s="69"/>
      <c r="G255" s="69"/>
      <c r="H255" s="69"/>
      <c r="AI255" s="7"/>
      <c r="AJ255" s="7"/>
      <c r="AK255" s="7"/>
      <c r="AL255" s="7"/>
      <c r="AM255" s="7"/>
      <c r="AN255" s="7"/>
      <c r="AO255" s="7"/>
      <c r="AP255" s="7"/>
      <c r="AQ255" s="7"/>
      <c r="AR255" s="7"/>
      <c r="AS255" s="7"/>
      <c r="AT255" s="7"/>
      <c r="AU255" s="7"/>
      <c r="AV255" s="69"/>
      <c r="AW255" s="32"/>
      <c r="BP255" s="18"/>
      <c r="BQ255" s="18"/>
      <c r="BR255" s="18"/>
      <c r="BS255" s="18"/>
      <c r="BT255" s="18"/>
      <c r="BU255" s="18"/>
      <c r="BV255" s="18"/>
      <c r="BW255" s="18"/>
      <c r="CV255" s="18"/>
      <c r="CW255" s="18"/>
      <c r="CX255" s="18"/>
      <c r="CY255" s="18"/>
      <c r="CZ255" s="18"/>
      <c r="DA255" s="18"/>
      <c r="DB255" s="18"/>
      <c r="DC255" s="18"/>
      <c r="DD255" s="18"/>
      <c r="DE255" s="18"/>
      <c r="DF255" s="18"/>
      <c r="DG255" s="18"/>
      <c r="DH255" s="18"/>
      <c r="DI255" s="18"/>
      <c r="DJ255" s="18"/>
      <c r="DK255" s="18"/>
      <c r="DL255" s="18"/>
      <c r="DM255" s="18"/>
    </row>
    <row r="256" spans="1:117" x14ac:dyDescent="0.3">
      <c r="A256" s="140"/>
      <c r="B256" s="18"/>
      <c r="C256" s="69"/>
      <c r="D256" s="69"/>
      <c r="E256" s="69"/>
      <c r="F256" s="69"/>
      <c r="G256" s="69"/>
      <c r="H256" s="69"/>
      <c r="AI256" s="7"/>
      <c r="AJ256" s="7"/>
      <c r="AK256" s="7"/>
      <c r="AL256" s="7"/>
      <c r="AM256" s="7"/>
      <c r="AN256" s="7"/>
      <c r="AO256" s="7"/>
      <c r="AP256" s="7"/>
      <c r="AQ256" s="7"/>
      <c r="AR256" s="7"/>
      <c r="AS256" s="7"/>
      <c r="AT256" s="7"/>
      <c r="AU256" s="7"/>
      <c r="AV256" s="69"/>
      <c r="AW256" s="32"/>
      <c r="BP256" s="18"/>
      <c r="BQ256" s="18"/>
      <c r="BR256" s="18"/>
      <c r="BS256" s="18"/>
      <c r="BT256" s="18"/>
      <c r="BU256" s="18"/>
      <c r="BV256" s="18"/>
      <c r="BW256" s="18"/>
      <c r="CV256" s="18"/>
      <c r="CW256" s="18"/>
      <c r="CX256" s="18"/>
      <c r="CY256" s="18"/>
      <c r="CZ256" s="18"/>
      <c r="DA256" s="18"/>
      <c r="DB256" s="18"/>
      <c r="DC256" s="18"/>
      <c r="DD256" s="18"/>
      <c r="DE256" s="18"/>
      <c r="DF256" s="18"/>
      <c r="DG256" s="18"/>
      <c r="DH256" s="18"/>
      <c r="DI256" s="18"/>
      <c r="DJ256" s="18"/>
      <c r="DK256" s="18"/>
      <c r="DL256" s="18"/>
      <c r="DM256" s="18"/>
    </row>
    <row r="257" spans="1:117" x14ac:dyDescent="0.3">
      <c r="A257" s="140"/>
      <c r="B257" s="18"/>
      <c r="C257" s="69"/>
      <c r="D257" s="69"/>
      <c r="E257" s="69"/>
      <c r="F257" s="69"/>
      <c r="G257" s="69"/>
      <c r="H257" s="69"/>
      <c r="AI257" s="7"/>
      <c r="AJ257" s="7"/>
      <c r="AK257" s="7"/>
      <c r="AL257" s="7"/>
      <c r="AM257" s="7"/>
      <c r="AN257" s="7"/>
      <c r="AO257" s="7"/>
      <c r="AP257" s="7"/>
      <c r="AQ257" s="7"/>
      <c r="AR257" s="7"/>
      <c r="AS257" s="7"/>
      <c r="AT257" s="7"/>
      <c r="AU257" s="7"/>
      <c r="AV257" s="69"/>
      <c r="AW257" s="32"/>
      <c r="BP257" s="18"/>
      <c r="BQ257" s="18"/>
      <c r="BR257" s="18"/>
      <c r="BS257" s="18"/>
      <c r="BT257" s="18"/>
      <c r="BU257" s="18"/>
      <c r="BV257" s="18"/>
      <c r="BW257" s="18"/>
      <c r="CV257" s="18"/>
      <c r="CW257" s="18"/>
      <c r="CX257" s="18"/>
      <c r="CY257" s="18"/>
      <c r="CZ257" s="18"/>
      <c r="DA257" s="18"/>
      <c r="DB257" s="18"/>
      <c r="DC257" s="18"/>
      <c r="DD257" s="18"/>
      <c r="DE257" s="18"/>
      <c r="DF257" s="18"/>
      <c r="DG257" s="18"/>
      <c r="DH257" s="18"/>
      <c r="DI257" s="18"/>
      <c r="DJ257" s="18"/>
      <c r="DK257" s="18"/>
      <c r="DL257" s="18"/>
      <c r="DM257" s="18"/>
    </row>
    <row r="258" spans="1:117" x14ac:dyDescent="0.3">
      <c r="A258" s="140"/>
      <c r="B258" s="18"/>
      <c r="C258" s="69"/>
      <c r="D258" s="69"/>
      <c r="E258" s="69"/>
      <c r="F258" s="69"/>
      <c r="G258" s="69"/>
      <c r="H258" s="69"/>
      <c r="AI258" s="7"/>
      <c r="AJ258" s="7"/>
      <c r="AK258" s="7"/>
      <c r="AL258" s="7"/>
      <c r="AM258" s="7"/>
      <c r="AN258" s="7"/>
      <c r="AO258" s="7"/>
      <c r="AP258" s="7"/>
      <c r="AQ258" s="7"/>
      <c r="AR258" s="7"/>
      <c r="AS258" s="7"/>
      <c r="AT258" s="7"/>
      <c r="AU258" s="7"/>
      <c r="AV258" s="69"/>
      <c r="AW258" s="32"/>
      <c r="BP258" s="18"/>
      <c r="BQ258" s="18"/>
      <c r="BR258" s="18"/>
      <c r="BS258" s="18"/>
      <c r="BT258" s="18"/>
      <c r="BU258" s="18"/>
      <c r="BV258" s="18"/>
      <c r="BW258" s="18"/>
      <c r="CV258" s="18"/>
      <c r="CW258" s="18"/>
      <c r="CX258" s="18"/>
      <c r="CY258" s="18"/>
      <c r="CZ258" s="18"/>
      <c r="DA258" s="18"/>
      <c r="DB258" s="18"/>
      <c r="DC258" s="18"/>
      <c r="DD258" s="18"/>
      <c r="DE258" s="18"/>
      <c r="DF258" s="18"/>
      <c r="DG258" s="18"/>
      <c r="DH258" s="18"/>
      <c r="DI258" s="18"/>
      <c r="DJ258" s="18"/>
      <c r="DK258" s="18"/>
      <c r="DL258" s="18"/>
      <c r="DM258" s="18"/>
    </row>
    <row r="259" spans="1:117" x14ac:dyDescent="0.3">
      <c r="A259" s="140"/>
      <c r="B259" s="18"/>
      <c r="C259" s="69"/>
      <c r="D259" s="69"/>
      <c r="E259" s="69"/>
      <c r="F259" s="69"/>
      <c r="G259" s="69"/>
      <c r="H259" s="69"/>
      <c r="AI259" s="7"/>
      <c r="AJ259" s="7"/>
      <c r="AK259" s="7"/>
      <c r="AL259" s="7"/>
      <c r="AM259" s="7"/>
      <c r="AN259" s="7"/>
      <c r="AO259" s="7"/>
      <c r="AP259" s="7"/>
      <c r="AQ259" s="7"/>
      <c r="AR259" s="7"/>
      <c r="AS259" s="7"/>
      <c r="AT259" s="7"/>
      <c r="AU259" s="7"/>
      <c r="AV259" s="69"/>
      <c r="AW259" s="32"/>
      <c r="BP259" s="18"/>
      <c r="BQ259" s="18"/>
      <c r="BR259" s="18"/>
      <c r="BS259" s="18"/>
      <c r="BT259" s="18"/>
      <c r="BU259" s="18"/>
      <c r="BV259" s="18"/>
      <c r="BW259" s="18"/>
      <c r="CV259" s="18"/>
      <c r="CW259" s="18"/>
      <c r="CX259" s="18"/>
      <c r="CY259" s="18"/>
      <c r="CZ259" s="18"/>
      <c r="DA259" s="18"/>
      <c r="DB259" s="18"/>
      <c r="DC259" s="18"/>
      <c r="DD259" s="18"/>
      <c r="DE259" s="18"/>
      <c r="DF259" s="18"/>
      <c r="DG259" s="18"/>
      <c r="DH259" s="18"/>
      <c r="DI259" s="18"/>
      <c r="DJ259" s="18"/>
      <c r="DK259" s="18"/>
      <c r="DL259" s="18"/>
      <c r="DM259" s="18"/>
    </row>
    <row r="260" spans="1:117" x14ac:dyDescent="0.3">
      <c r="A260" s="140"/>
      <c r="B260" s="18"/>
      <c r="C260" s="69"/>
      <c r="D260" s="69"/>
      <c r="E260" s="69"/>
      <c r="F260" s="69"/>
      <c r="G260" s="69"/>
      <c r="H260" s="69"/>
      <c r="AI260" s="7"/>
      <c r="AJ260" s="7"/>
      <c r="AK260" s="7"/>
      <c r="AL260" s="7"/>
      <c r="AM260" s="7"/>
      <c r="AN260" s="7"/>
      <c r="AO260" s="7"/>
      <c r="AP260" s="7"/>
      <c r="AQ260" s="7"/>
      <c r="AR260" s="7"/>
      <c r="AS260" s="7"/>
      <c r="AT260" s="7"/>
      <c r="AU260" s="7"/>
      <c r="AV260" s="69"/>
      <c r="AW260" s="32"/>
      <c r="BP260" s="18"/>
      <c r="BQ260" s="18"/>
      <c r="BR260" s="18"/>
      <c r="BS260" s="18"/>
      <c r="BT260" s="18"/>
      <c r="BU260" s="18"/>
      <c r="BV260" s="18"/>
      <c r="BW260" s="18"/>
      <c r="CV260" s="18"/>
      <c r="CW260" s="18"/>
      <c r="CX260" s="18"/>
      <c r="CY260" s="18"/>
      <c r="CZ260" s="18"/>
      <c r="DA260" s="18"/>
      <c r="DB260" s="18"/>
      <c r="DC260" s="18"/>
      <c r="DD260" s="18"/>
      <c r="DE260" s="18"/>
      <c r="DF260" s="18"/>
      <c r="DG260" s="18"/>
      <c r="DH260" s="18"/>
      <c r="DI260" s="18"/>
      <c r="DJ260" s="18"/>
      <c r="DK260" s="18"/>
      <c r="DL260" s="18"/>
      <c r="DM260" s="18"/>
    </row>
    <row r="261" spans="1:117" x14ac:dyDescent="0.3">
      <c r="A261" s="140"/>
      <c r="B261" s="18"/>
      <c r="C261" s="69"/>
      <c r="D261" s="69"/>
      <c r="E261" s="69"/>
      <c r="F261" s="69"/>
      <c r="G261" s="69"/>
      <c r="H261" s="69"/>
      <c r="AI261" s="7"/>
      <c r="AJ261" s="7"/>
      <c r="AK261" s="7"/>
      <c r="AL261" s="7"/>
      <c r="AM261" s="7"/>
      <c r="AN261" s="7"/>
      <c r="AO261" s="7"/>
      <c r="AP261" s="7"/>
      <c r="AQ261" s="7"/>
      <c r="AR261" s="7"/>
      <c r="AS261" s="7"/>
      <c r="AT261" s="7"/>
      <c r="AU261" s="7"/>
      <c r="AV261" s="69"/>
      <c r="AW261" s="32"/>
      <c r="BP261" s="18"/>
      <c r="BQ261" s="18"/>
      <c r="BR261" s="18"/>
      <c r="BS261" s="18"/>
      <c r="BT261" s="18"/>
      <c r="BU261" s="18"/>
      <c r="BV261" s="18"/>
      <c r="BW261" s="18"/>
      <c r="CV261" s="18"/>
      <c r="CW261" s="18"/>
      <c r="CX261" s="18"/>
      <c r="CY261" s="18"/>
      <c r="CZ261" s="18"/>
      <c r="DA261" s="18"/>
      <c r="DB261" s="18"/>
      <c r="DC261" s="18"/>
      <c r="DD261" s="18"/>
      <c r="DE261" s="18"/>
      <c r="DF261" s="18"/>
      <c r="DG261" s="18"/>
      <c r="DH261" s="18"/>
      <c r="DI261" s="18"/>
      <c r="DJ261" s="18"/>
      <c r="DK261" s="18"/>
      <c r="DL261" s="18"/>
      <c r="DM261" s="18"/>
    </row>
    <row r="262" spans="1:117" x14ac:dyDescent="0.3">
      <c r="A262" s="140"/>
      <c r="B262" s="18"/>
      <c r="C262" s="69"/>
      <c r="D262" s="69"/>
      <c r="E262" s="69"/>
      <c r="F262" s="69"/>
      <c r="G262" s="69"/>
      <c r="H262" s="69"/>
      <c r="AI262" s="7"/>
      <c r="AJ262" s="7"/>
      <c r="AK262" s="7"/>
      <c r="AL262" s="7"/>
      <c r="AM262" s="7"/>
      <c r="AN262" s="7"/>
      <c r="AO262" s="7"/>
      <c r="AP262" s="7"/>
      <c r="AQ262" s="7"/>
      <c r="AR262" s="7"/>
      <c r="AS262" s="7"/>
      <c r="AT262" s="7"/>
      <c r="AU262" s="7"/>
      <c r="AV262" s="69"/>
      <c r="AW262" s="32"/>
      <c r="BP262" s="18"/>
      <c r="BQ262" s="18"/>
      <c r="BR262" s="18"/>
      <c r="BS262" s="18"/>
      <c r="BT262" s="18"/>
      <c r="BU262" s="18"/>
      <c r="BV262" s="18"/>
      <c r="BW262" s="18"/>
      <c r="CV262" s="18"/>
      <c r="CW262" s="18"/>
      <c r="CX262" s="18"/>
      <c r="CY262" s="18"/>
      <c r="CZ262" s="18"/>
      <c r="DA262" s="18"/>
      <c r="DB262" s="18"/>
      <c r="DC262" s="18"/>
      <c r="DD262" s="18"/>
      <c r="DE262" s="18"/>
      <c r="DF262" s="18"/>
      <c r="DG262" s="18"/>
      <c r="DH262" s="18"/>
      <c r="DI262" s="18"/>
      <c r="DJ262" s="18"/>
      <c r="DK262" s="18"/>
      <c r="DL262" s="18"/>
      <c r="DM262" s="18"/>
    </row>
    <row r="263" spans="1:117" x14ac:dyDescent="0.3">
      <c r="A263" s="140"/>
      <c r="B263" s="18"/>
      <c r="C263" s="69"/>
      <c r="D263" s="69"/>
      <c r="E263" s="69"/>
      <c r="F263" s="69"/>
      <c r="G263" s="69"/>
      <c r="H263" s="69"/>
      <c r="AI263" s="7"/>
      <c r="AJ263" s="7"/>
      <c r="AK263" s="7"/>
      <c r="AL263" s="7"/>
      <c r="AM263" s="7"/>
      <c r="AN263" s="7"/>
      <c r="AO263" s="7"/>
      <c r="AP263" s="7"/>
      <c r="AQ263" s="7"/>
      <c r="AR263" s="7"/>
      <c r="AS263" s="7"/>
      <c r="AT263" s="7"/>
      <c r="AU263" s="7"/>
      <c r="AV263" s="69"/>
      <c r="AW263" s="32"/>
      <c r="BP263" s="18"/>
      <c r="BQ263" s="18"/>
      <c r="BR263" s="18"/>
      <c r="BS263" s="18"/>
      <c r="BT263" s="18"/>
      <c r="BU263" s="18"/>
      <c r="BV263" s="18"/>
      <c r="BW263" s="18"/>
      <c r="CV263" s="18"/>
      <c r="CW263" s="18"/>
      <c r="CX263" s="18"/>
      <c r="CY263" s="18"/>
      <c r="CZ263" s="18"/>
      <c r="DA263" s="18"/>
      <c r="DB263" s="18"/>
      <c r="DC263" s="18"/>
      <c r="DD263" s="18"/>
      <c r="DE263" s="18"/>
      <c r="DF263" s="18"/>
      <c r="DG263" s="18"/>
      <c r="DH263" s="18"/>
      <c r="DI263" s="18"/>
      <c r="DJ263" s="18"/>
      <c r="DK263" s="18"/>
      <c r="DL263" s="18"/>
      <c r="DM263" s="18"/>
    </row>
    <row r="264" spans="1:117" x14ac:dyDescent="0.3">
      <c r="A264" s="140"/>
      <c r="B264" s="18"/>
      <c r="C264" s="69"/>
      <c r="D264" s="69"/>
      <c r="E264" s="69"/>
      <c r="F264" s="69"/>
      <c r="G264" s="69"/>
      <c r="H264" s="69"/>
      <c r="AI264" s="7"/>
      <c r="AJ264" s="7"/>
      <c r="AK264" s="7"/>
      <c r="AL264" s="7"/>
      <c r="AM264" s="7"/>
      <c r="AN264" s="7"/>
      <c r="AO264" s="7"/>
      <c r="AP264" s="7"/>
      <c r="AQ264" s="7"/>
      <c r="AR264" s="7"/>
      <c r="AS264" s="7"/>
      <c r="AT264" s="7"/>
      <c r="AU264" s="7"/>
      <c r="AV264" s="69"/>
      <c r="AW264" s="32"/>
      <c r="BP264" s="18"/>
      <c r="BQ264" s="18"/>
      <c r="BR264" s="18"/>
      <c r="BS264" s="18"/>
      <c r="BT264" s="18"/>
      <c r="BU264" s="18"/>
      <c r="BV264" s="18"/>
      <c r="BW264" s="18"/>
      <c r="CV264" s="18"/>
      <c r="CW264" s="18"/>
      <c r="CX264" s="18"/>
      <c r="CY264" s="18"/>
      <c r="CZ264" s="18"/>
      <c r="DA264" s="18"/>
      <c r="DB264" s="18"/>
      <c r="DC264" s="18"/>
      <c r="DD264" s="18"/>
      <c r="DE264" s="18"/>
      <c r="DF264" s="18"/>
      <c r="DG264" s="18"/>
      <c r="DH264" s="18"/>
      <c r="DI264" s="18"/>
      <c r="DJ264" s="18"/>
      <c r="DK264" s="18"/>
      <c r="DL264" s="18"/>
      <c r="DM264" s="18"/>
    </row>
    <row r="265" spans="1:117" x14ac:dyDescent="0.3">
      <c r="A265" s="140"/>
      <c r="B265" s="18"/>
      <c r="C265" s="69"/>
      <c r="D265" s="69"/>
      <c r="E265" s="69"/>
      <c r="F265" s="69"/>
      <c r="G265" s="69"/>
      <c r="H265" s="69"/>
      <c r="AI265" s="7"/>
      <c r="AJ265" s="7"/>
      <c r="AK265" s="7"/>
      <c r="AL265" s="7"/>
      <c r="AM265" s="7"/>
      <c r="AN265" s="7"/>
      <c r="AO265" s="7"/>
      <c r="AP265" s="7"/>
      <c r="AQ265" s="7"/>
      <c r="AR265" s="7"/>
      <c r="AS265" s="7"/>
      <c r="AT265" s="7"/>
      <c r="AU265" s="7"/>
      <c r="AV265" s="69"/>
      <c r="AW265" s="32"/>
      <c r="BP265" s="18"/>
      <c r="BQ265" s="18"/>
      <c r="BR265" s="18"/>
      <c r="BS265" s="18"/>
      <c r="BT265" s="18"/>
      <c r="BU265" s="18"/>
      <c r="BV265" s="18"/>
      <c r="BW265" s="18"/>
      <c r="CV265" s="18"/>
      <c r="CW265" s="18"/>
      <c r="CX265" s="18"/>
      <c r="CY265" s="18"/>
      <c r="CZ265" s="18"/>
      <c r="DA265" s="18"/>
      <c r="DB265" s="18"/>
      <c r="DC265" s="18"/>
      <c r="DD265" s="18"/>
      <c r="DE265" s="18"/>
      <c r="DF265" s="18"/>
      <c r="DG265" s="18"/>
      <c r="DH265" s="18"/>
      <c r="DI265" s="18"/>
      <c r="DJ265" s="18"/>
      <c r="DK265" s="18"/>
      <c r="DL265" s="18"/>
      <c r="DM265" s="18"/>
    </row>
    <row r="266" spans="1:117" x14ac:dyDescent="0.3">
      <c r="A266" s="140"/>
      <c r="B266" s="18"/>
      <c r="C266" s="69"/>
      <c r="D266" s="69"/>
      <c r="E266" s="69"/>
      <c r="F266" s="69"/>
      <c r="G266" s="69"/>
      <c r="H266" s="69"/>
      <c r="AI266" s="7"/>
      <c r="AJ266" s="7"/>
      <c r="AK266" s="7"/>
      <c r="AL266" s="7"/>
      <c r="AM266" s="7"/>
      <c r="AN266" s="7"/>
      <c r="AO266" s="7"/>
      <c r="AP266" s="7"/>
      <c r="AQ266" s="7"/>
      <c r="AR266" s="7"/>
      <c r="AS266" s="7"/>
      <c r="AT266" s="7"/>
      <c r="AU266" s="7"/>
      <c r="AV266" s="69"/>
      <c r="AW266" s="32"/>
      <c r="BP266" s="18"/>
      <c r="BQ266" s="18"/>
      <c r="BR266" s="18"/>
      <c r="BS266" s="18"/>
      <c r="BT266" s="18"/>
      <c r="BU266" s="18"/>
      <c r="BV266" s="18"/>
      <c r="BW266" s="18"/>
      <c r="CV266" s="18"/>
      <c r="CW266" s="18"/>
      <c r="CX266" s="18"/>
      <c r="CY266" s="18"/>
      <c r="CZ266" s="18"/>
      <c r="DA266" s="18"/>
      <c r="DB266" s="18"/>
      <c r="DC266" s="18"/>
      <c r="DD266" s="18"/>
      <c r="DE266" s="18"/>
      <c r="DF266" s="18"/>
      <c r="DG266" s="18"/>
      <c r="DH266" s="18"/>
      <c r="DI266" s="18"/>
      <c r="DJ266" s="18"/>
      <c r="DK266" s="18"/>
      <c r="DL266" s="18"/>
      <c r="DM266" s="18"/>
    </row>
    <row r="267" spans="1:117" x14ac:dyDescent="0.3">
      <c r="A267" s="140"/>
      <c r="B267" s="18"/>
      <c r="C267" s="69"/>
      <c r="D267" s="69"/>
      <c r="E267" s="69"/>
      <c r="F267" s="69"/>
      <c r="G267" s="69"/>
      <c r="H267" s="69"/>
      <c r="AI267" s="7"/>
      <c r="AJ267" s="7"/>
      <c r="AK267" s="7"/>
      <c r="AL267" s="7"/>
      <c r="AM267" s="7"/>
      <c r="AN267" s="7"/>
      <c r="AO267" s="7"/>
      <c r="AP267" s="7"/>
      <c r="AQ267" s="7"/>
      <c r="AR267" s="7"/>
      <c r="AS267" s="7"/>
      <c r="AT267" s="7"/>
      <c r="AU267" s="7"/>
      <c r="AV267" s="69"/>
      <c r="AW267" s="32"/>
      <c r="BP267" s="18"/>
      <c r="BQ267" s="18"/>
      <c r="BR267" s="18"/>
      <c r="BS267" s="18"/>
      <c r="BT267" s="18"/>
      <c r="BU267" s="18"/>
      <c r="BV267" s="18"/>
      <c r="BW267" s="18"/>
      <c r="CV267" s="18"/>
      <c r="CW267" s="18"/>
      <c r="CX267" s="18"/>
      <c r="CY267" s="18"/>
      <c r="CZ267" s="18"/>
      <c r="DA267" s="18"/>
      <c r="DB267" s="18"/>
      <c r="DC267" s="18"/>
      <c r="DD267" s="18"/>
      <c r="DE267" s="18"/>
      <c r="DF267" s="18"/>
      <c r="DG267" s="18"/>
      <c r="DH267" s="18"/>
      <c r="DI267" s="18"/>
      <c r="DJ267" s="18"/>
      <c r="DK267" s="18"/>
      <c r="DL267" s="18"/>
      <c r="DM267" s="18"/>
    </row>
    <row r="268" spans="1:117" x14ac:dyDescent="0.3">
      <c r="A268" s="140"/>
      <c r="B268" s="18"/>
      <c r="C268" s="69"/>
      <c r="D268" s="69"/>
      <c r="E268" s="69"/>
      <c r="F268" s="69"/>
      <c r="G268" s="69"/>
      <c r="H268" s="69"/>
      <c r="AI268" s="7"/>
      <c r="AJ268" s="7"/>
      <c r="AK268" s="7"/>
      <c r="AL268" s="7"/>
      <c r="AM268" s="7"/>
      <c r="AN268" s="7"/>
      <c r="AO268" s="7"/>
      <c r="AP268" s="7"/>
      <c r="AQ268" s="7"/>
      <c r="AR268" s="7"/>
      <c r="AS268" s="7"/>
      <c r="AT268" s="7"/>
      <c r="AU268" s="7"/>
      <c r="AV268" s="69"/>
      <c r="AW268" s="32"/>
      <c r="BP268" s="18"/>
      <c r="BQ268" s="18"/>
      <c r="BR268" s="18"/>
      <c r="BS268" s="18"/>
      <c r="BT268" s="18"/>
      <c r="BU268" s="18"/>
      <c r="BV268" s="18"/>
      <c r="BW268" s="18"/>
      <c r="CV268" s="18"/>
      <c r="CW268" s="18"/>
      <c r="CX268" s="18"/>
      <c r="CY268" s="18"/>
      <c r="CZ268" s="18"/>
      <c r="DA268" s="18"/>
      <c r="DB268" s="18"/>
      <c r="DC268" s="18"/>
      <c r="DD268" s="18"/>
      <c r="DE268" s="18"/>
      <c r="DF268" s="18"/>
      <c r="DG268" s="18"/>
      <c r="DH268" s="18"/>
      <c r="DI268" s="18"/>
      <c r="DJ268" s="18"/>
      <c r="DK268" s="18"/>
      <c r="DL268" s="18"/>
      <c r="DM268" s="18"/>
    </row>
    <row r="269" spans="1:117" x14ac:dyDescent="0.3">
      <c r="A269" s="140"/>
      <c r="B269" s="18"/>
      <c r="C269" s="69"/>
      <c r="D269" s="69"/>
      <c r="E269" s="69"/>
      <c r="F269" s="69"/>
      <c r="G269" s="69"/>
      <c r="H269" s="69"/>
      <c r="AI269" s="7"/>
      <c r="AJ269" s="7"/>
      <c r="AK269" s="7"/>
      <c r="AL269" s="7"/>
      <c r="AM269" s="7"/>
      <c r="AN269" s="7"/>
      <c r="AO269" s="7"/>
      <c r="AP269" s="7"/>
      <c r="AQ269" s="7"/>
      <c r="AR269" s="7"/>
      <c r="AS269" s="7"/>
      <c r="AT269" s="7"/>
      <c r="AU269" s="7"/>
      <c r="AV269" s="69"/>
      <c r="AW269" s="32"/>
      <c r="BP269" s="18"/>
      <c r="BQ269" s="18"/>
      <c r="BR269" s="18"/>
      <c r="BS269" s="18"/>
      <c r="BT269" s="18"/>
      <c r="BU269" s="18"/>
      <c r="BV269" s="18"/>
      <c r="BW269" s="18"/>
      <c r="CV269" s="18"/>
      <c r="CW269" s="18"/>
      <c r="CX269" s="18"/>
      <c r="CY269" s="18"/>
      <c r="CZ269" s="18"/>
      <c r="DA269" s="18"/>
      <c r="DB269" s="18"/>
      <c r="DC269" s="18"/>
      <c r="DD269" s="18"/>
      <c r="DE269" s="18"/>
      <c r="DF269" s="18"/>
      <c r="DG269" s="18"/>
      <c r="DH269" s="18"/>
      <c r="DI269" s="18"/>
      <c r="DJ269" s="18"/>
      <c r="DK269" s="18"/>
      <c r="DL269" s="18"/>
      <c r="DM269" s="18"/>
    </row>
    <row r="270" spans="1:117" x14ac:dyDescent="0.3">
      <c r="A270" s="140"/>
      <c r="B270" s="18"/>
      <c r="C270" s="69"/>
      <c r="D270" s="69"/>
      <c r="E270" s="69"/>
      <c r="F270" s="69"/>
      <c r="G270" s="69"/>
      <c r="H270" s="69"/>
      <c r="AI270" s="7"/>
      <c r="AJ270" s="7"/>
      <c r="AK270" s="7"/>
      <c r="AL270" s="7"/>
      <c r="AM270" s="7"/>
      <c r="AN270" s="7"/>
      <c r="AO270" s="7"/>
      <c r="AP270" s="7"/>
      <c r="AQ270" s="7"/>
      <c r="AR270" s="7"/>
      <c r="AS270" s="7"/>
      <c r="AT270" s="7"/>
      <c r="AU270" s="7"/>
      <c r="AV270" s="69"/>
      <c r="AW270" s="32"/>
      <c r="BP270" s="18"/>
      <c r="BQ270" s="18"/>
      <c r="BR270" s="18"/>
      <c r="BS270" s="18"/>
      <c r="BT270" s="18"/>
      <c r="BU270" s="18"/>
      <c r="BV270" s="18"/>
      <c r="BW270" s="18"/>
      <c r="CV270" s="18"/>
      <c r="CW270" s="18"/>
      <c r="CX270" s="18"/>
      <c r="CY270" s="18"/>
      <c r="CZ270" s="18"/>
      <c r="DA270" s="18"/>
      <c r="DB270" s="18"/>
      <c r="DC270" s="18"/>
      <c r="DD270" s="18"/>
      <c r="DE270" s="18"/>
      <c r="DF270" s="18"/>
      <c r="DG270" s="18"/>
      <c r="DH270" s="18"/>
      <c r="DI270" s="18"/>
      <c r="DJ270" s="18"/>
      <c r="DK270" s="18"/>
      <c r="DL270" s="18"/>
      <c r="DM270" s="18"/>
    </row>
    <row r="271" spans="1:117" x14ac:dyDescent="0.3">
      <c r="A271" s="140"/>
      <c r="B271" s="18"/>
      <c r="C271" s="69"/>
      <c r="D271" s="69"/>
      <c r="E271" s="69"/>
      <c r="F271" s="69"/>
      <c r="G271" s="69"/>
      <c r="H271" s="69"/>
      <c r="AI271" s="7"/>
      <c r="AJ271" s="7"/>
      <c r="AK271" s="7"/>
      <c r="AL271" s="7"/>
      <c r="AM271" s="7"/>
      <c r="AN271" s="7"/>
      <c r="AO271" s="7"/>
      <c r="AP271" s="7"/>
      <c r="AQ271" s="7"/>
      <c r="AR271" s="7"/>
      <c r="AS271" s="7"/>
      <c r="AT271" s="7"/>
      <c r="AU271" s="7"/>
      <c r="AV271" s="69"/>
      <c r="AW271" s="32"/>
      <c r="BP271" s="18"/>
      <c r="BQ271" s="18"/>
      <c r="BR271" s="18"/>
      <c r="BS271" s="18"/>
      <c r="BT271" s="18"/>
      <c r="BU271" s="18"/>
      <c r="BV271" s="18"/>
      <c r="BW271" s="18"/>
      <c r="CV271" s="18"/>
      <c r="CW271" s="18"/>
      <c r="CX271" s="18"/>
      <c r="CY271" s="18"/>
      <c r="CZ271" s="18"/>
      <c r="DA271" s="18"/>
      <c r="DB271" s="18"/>
      <c r="DC271" s="18"/>
      <c r="DD271" s="18"/>
      <c r="DE271" s="18"/>
      <c r="DF271" s="18"/>
      <c r="DG271" s="18"/>
      <c r="DH271" s="18"/>
      <c r="DI271" s="18"/>
      <c r="DJ271" s="18"/>
      <c r="DK271" s="18"/>
      <c r="DL271" s="18"/>
      <c r="DM271" s="18"/>
    </row>
    <row r="272" spans="1:117" x14ac:dyDescent="0.3">
      <c r="A272" s="140"/>
      <c r="B272" s="18"/>
      <c r="C272" s="69"/>
      <c r="D272" s="69"/>
      <c r="E272" s="69"/>
      <c r="F272" s="69"/>
      <c r="G272" s="69"/>
      <c r="H272" s="69"/>
      <c r="AI272" s="7"/>
      <c r="AJ272" s="7"/>
      <c r="AK272" s="7"/>
      <c r="AL272" s="7"/>
      <c r="AM272" s="7"/>
      <c r="AN272" s="7"/>
      <c r="AO272" s="7"/>
      <c r="AP272" s="7"/>
      <c r="AQ272" s="7"/>
      <c r="AR272" s="7"/>
      <c r="AS272" s="7"/>
      <c r="AT272" s="7"/>
      <c r="AU272" s="7"/>
      <c r="AV272" s="69"/>
      <c r="AW272" s="32"/>
      <c r="BP272" s="18"/>
      <c r="BQ272" s="18"/>
      <c r="BR272" s="18"/>
      <c r="BS272" s="18"/>
      <c r="BT272" s="18"/>
      <c r="BU272" s="18"/>
      <c r="BV272" s="18"/>
      <c r="BW272" s="18"/>
      <c r="CV272" s="18"/>
      <c r="CW272" s="18"/>
      <c r="CX272" s="18"/>
      <c r="CY272" s="18"/>
      <c r="CZ272" s="18"/>
      <c r="DA272" s="18"/>
      <c r="DB272" s="18"/>
      <c r="DC272" s="18"/>
      <c r="DD272" s="18"/>
      <c r="DE272" s="18"/>
      <c r="DF272" s="18"/>
      <c r="DG272" s="18"/>
      <c r="DH272" s="18"/>
      <c r="DI272" s="18"/>
      <c r="DJ272" s="18"/>
      <c r="DK272" s="18"/>
      <c r="DL272" s="18"/>
      <c r="DM272" s="18"/>
    </row>
    <row r="273" spans="1:117" x14ac:dyDescent="0.3">
      <c r="A273" s="140"/>
      <c r="B273" s="18"/>
      <c r="C273" s="69"/>
      <c r="D273" s="69"/>
      <c r="E273" s="69"/>
      <c r="F273" s="69"/>
      <c r="G273" s="69"/>
      <c r="H273" s="69"/>
      <c r="AI273" s="7"/>
      <c r="AJ273" s="7"/>
      <c r="AK273" s="7"/>
      <c r="AL273" s="7"/>
      <c r="AM273" s="7"/>
      <c r="AN273" s="7"/>
      <c r="AO273" s="7"/>
      <c r="AP273" s="7"/>
      <c r="AQ273" s="7"/>
      <c r="AR273" s="7"/>
      <c r="AS273" s="7"/>
      <c r="AT273" s="7"/>
      <c r="AU273" s="7"/>
      <c r="AV273" s="69"/>
      <c r="AW273" s="32"/>
      <c r="BP273" s="18"/>
      <c r="BQ273" s="18"/>
      <c r="BR273" s="18"/>
      <c r="BS273" s="18"/>
      <c r="BT273" s="18"/>
      <c r="BU273" s="18"/>
      <c r="BV273" s="18"/>
      <c r="BW273" s="18"/>
      <c r="CV273" s="18"/>
      <c r="CW273" s="18"/>
      <c r="CX273" s="18"/>
      <c r="CY273" s="18"/>
      <c r="CZ273" s="18"/>
      <c r="DA273" s="18"/>
      <c r="DB273" s="18"/>
      <c r="DC273" s="18"/>
      <c r="DD273" s="18"/>
      <c r="DE273" s="18"/>
      <c r="DF273" s="18"/>
      <c r="DG273" s="18"/>
      <c r="DH273" s="18"/>
      <c r="DI273" s="18"/>
      <c r="DJ273" s="18"/>
      <c r="DK273" s="18"/>
      <c r="DL273" s="18"/>
      <c r="DM273" s="18"/>
    </row>
    <row r="274" spans="1:117" x14ac:dyDescent="0.3">
      <c r="A274" s="140"/>
      <c r="B274" s="18"/>
      <c r="C274" s="69"/>
      <c r="D274" s="69"/>
      <c r="E274" s="69"/>
      <c r="F274" s="69"/>
      <c r="G274" s="69"/>
      <c r="H274" s="69"/>
      <c r="AI274" s="7"/>
      <c r="AJ274" s="7"/>
      <c r="AK274" s="7"/>
      <c r="AL274" s="7"/>
      <c r="AM274" s="7"/>
      <c r="AN274" s="7"/>
      <c r="AO274" s="7"/>
      <c r="AP274" s="7"/>
      <c r="AQ274" s="7"/>
      <c r="AR274" s="7"/>
      <c r="AS274" s="7"/>
      <c r="AT274" s="7"/>
      <c r="AU274" s="7"/>
      <c r="AV274" s="69"/>
      <c r="AW274" s="32"/>
      <c r="BP274" s="18"/>
      <c r="BQ274" s="18"/>
      <c r="BR274" s="18"/>
      <c r="BS274" s="18"/>
      <c r="BT274" s="18"/>
      <c r="BU274" s="18"/>
      <c r="BV274" s="18"/>
      <c r="BW274" s="18"/>
      <c r="CV274" s="18"/>
      <c r="CW274" s="18"/>
      <c r="CX274" s="18"/>
      <c r="CY274" s="18"/>
      <c r="CZ274" s="18"/>
      <c r="DA274" s="18"/>
      <c r="DB274" s="18"/>
      <c r="DC274" s="18"/>
      <c r="DD274" s="18"/>
      <c r="DE274" s="18"/>
      <c r="DF274" s="18"/>
      <c r="DG274" s="18"/>
      <c r="DH274" s="18"/>
      <c r="DI274" s="18"/>
      <c r="DJ274" s="18"/>
      <c r="DK274" s="18"/>
      <c r="DL274" s="18"/>
      <c r="DM274" s="18"/>
    </row>
    <row r="275" spans="1:117" x14ac:dyDescent="0.3">
      <c r="A275" s="140"/>
      <c r="B275" s="18"/>
      <c r="C275" s="69"/>
      <c r="D275" s="69"/>
      <c r="E275" s="69"/>
      <c r="F275" s="69"/>
      <c r="G275" s="69"/>
      <c r="H275" s="69"/>
      <c r="AI275" s="7"/>
      <c r="AJ275" s="7"/>
      <c r="AK275" s="7"/>
      <c r="AL275" s="7"/>
      <c r="AM275" s="7"/>
      <c r="AN275" s="7"/>
      <c r="AO275" s="7"/>
      <c r="AP275" s="7"/>
      <c r="AQ275" s="7"/>
      <c r="AR275" s="7"/>
      <c r="AS275" s="7"/>
      <c r="AT275" s="7"/>
      <c r="AU275" s="7"/>
      <c r="AV275" s="69"/>
      <c r="AW275" s="32"/>
      <c r="BP275" s="18"/>
      <c r="BQ275" s="18"/>
      <c r="BR275" s="18"/>
      <c r="BS275" s="18"/>
      <c r="BT275" s="18"/>
      <c r="BU275" s="18"/>
      <c r="BV275" s="18"/>
      <c r="BW275" s="18"/>
      <c r="CV275" s="18"/>
      <c r="CW275" s="18"/>
      <c r="CX275" s="18"/>
      <c r="CY275" s="18"/>
      <c r="CZ275" s="18"/>
      <c r="DA275" s="18"/>
      <c r="DB275" s="18"/>
      <c r="DC275" s="18"/>
      <c r="DD275" s="18"/>
      <c r="DE275" s="18"/>
      <c r="DF275" s="18"/>
      <c r="DG275" s="18"/>
      <c r="DH275" s="18"/>
      <c r="DI275" s="18"/>
      <c r="DJ275" s="18"/>
      <c r="DK275" s="18"/>
      <c r="DL275" s="18"/>
      <c r="DM275" s="18"/>
    </row>
    <row r="276" spans="1:117" x14ac:dyDescent="0.3">
      <c r="A276" s="140"/>
      <c r="B276" s="18"/>
      <c r="C276" s="69"/>
      <c r="D276" s="69"/>
      <c r="E276" s="69"/>
      <c r="F276" s="69"/>
      <c r="G276" s="69"/>
      <c r="H276" s="69"/>
      <c r="AI276" s="7"/>
      <c r="AJ276" s="7"/>
      <c r="AK276" s="7"/>
      <c r="AL276" s="7"/>
      <c r="AM276" s="7"/>
      <c r="AN276" s="7"/>
      <c r="AO276" s="7"/>
      <c r="AP276" s="7"/>
      <c r="AQ276" s="7"/>
      <c r="AR276" s="7"/>
      <c r="AS276" s="7"/>
      <c r="AT276" s="7"/>
      <c r="AU276" s="7"/>
      <c r="AV276" s="69"/>
      <c r="AW276" s="32"/>
      <c r="BP276" s="18"/>
      <c r="BQ276" s="18"/>
      <c r="BR276" s="18"/>
      <c r="BS276" s="18"/>
      <c r="BT276" s="18"/>
      <c r="BU276" s="18"/>
      <c r="BV276" s="18"/>
      <c r="BW276" s="18"/>
      <c r="CV276" s="18"/>
      <c r="CW276" s="18"/>
      <c r="CX276" s="18"/>
      <c r="CY276" s="18"/>
      <c r="CZ276" s="18"/>
      <c r="DA276" s="18"/>
      <c r="DB276" s="18"/>
      <c r="DC276" s="18"/>
      <c r="DD276" s="18"/>
      <c r="DE276" s="18"/>
      <c r="DF276" s="18"/>
      <c r="DG276" s="18"/>
      <c r="DH276" s="18"/>
      <c r="DI276" s="18"/>
      <c r="DJ276" s="18"/>
      <c r="DK276" s="18"/>
      <c r="DL276" s="18"/>
      <c r="DM276" s="18"/>
    </row>
    <row r="277" spans="1:117" x14ac:dyDescent="0.3">
      <c r="A277" s="140"/>
      <c r="B277" s="18"/>
      <c r="C277" s="69"/>
      <c r="D277" s="69"/>
      <c r="E277" s="69"/>
      <c r="F277" s="69"/>
      <c r="G277" s="69"/>
      <c r="H277" s="69"/>
      <c r="AI277" s="7"/>
      <c r="AJ277" s="7"/>
      <c r="AK277" s="7"/>
      <c r="AL277" s="7"/>
      <c r="AM277" s="7"/>
      <c r="AN277" s="7"/>
      <c r="AO277" s="7"/>
      <c r="AP277" s="7"/>
      <c r="AQ277" s="7"/>
      <c r="AR277" s="7"/>
      <c r="AS277" s="7"/>
      <c r="AT277" s="7"/>
      <c r="AU277" s="7"/>
      <c r="AV277" s="69"/>
      <c r="AW277" s="32"/>
      <c r="BP277" s="18"/>
      <c r="BQ277" s="18"/>
      <c r="BR277" s="18"/>
      <c r="BS277" s="18"/>
      <c r="BT277" s="18"/>
      <c r="BU277" s="18"/>
      <c r="BV277" s="18"/>
      <c r="BW277" s="18"/>
      <c r="CV277" s="18"/>
      <c r="CW277" s="18"/>
      <c r="CX277" s="18"/>
      <c r="CY277" s="18"/>
      <c r="CZ277" s="18"/>
      <c r="DA277" s="18"/>
      <c r="DB277" s="18"/>
      <c r="DC277" s="18"/>
      <c r="DD277" s="18"/>
      <c r="DE277" s="18"/>
      <c r="DF277" s="18"/>
      <c r="DG277" s="18"/>
      <c r="DH277" s="18"/>
      <c r="DI277" s="18"/>
      <c r="DJ277" s="18"/>
      <c r="DK277" s="18"/>
      <c r="DL277" s="18"/>
      <c r="DM277" s="18"/>
    </row>
    <row r="278" spans="1:117" x14ac:dyDescent="0.3">
      <c r="A278" s="140"/>
      <c r="B278" s="18"/>
      <c r="C278" s="69"/>
      <c r="D278" s="69"/>
      <c r="E278" s="69"/>
      <c r="F278" s="69"/>
      <c r="G278" s="69"/>
      <c r="H278" s="69"/>
      <c r="AI278" s="7"/>
      <c r="AJ278" s="7"/>
      <c r="AK278" s="7"/>
      <c r="AL278" s="7"/>
      <c r="AM278" s="7"/>
      <c r="AN278" s="7"/>
      <c r="AO278" s="7"/>
      <c r="AP278" s="7"/>
      <c r="AQ278" s="7"/>
      <c r="AR278" s="7"/>
      <c r="AS278" s="7"/>
      <c r="AT278" s="7"/>
      <c r="AU278" s="7"/>
      <c r="AV278" s="69"/>
      <c r="AW278" s="32"/>
      <c r="BP278" s="18"/>
      <c r="BQ278" s="18"/>
      <c r="BR278" s="18"/>
      <c r="BS278" s="18"/>
      <c r="BT278" s="18"/>
      <c r="BU278" s="18"/>
      <c r="BV278" s="18"/>
      <c r="BW278" s="18"/>
      <c r="CV278" s="18"/>
      <c r="CW278" s="18"/>
      <c r="CX278" s="18"/>
      <c r="CY278" s="18"/>
      <c r="CZ278" s="18"/>
      <c r="DA278" s="18"/>
      <c r="DB278" s="18"/>
      <c r="DC278" s="18"/>
      <c r="DD278" s="18"/>
      <c r="DE278" s="18"/>
      <c r="DF278" s="18"/>
      <c r="DG278" s="18"/>
      <c r="DH278" s="18"/>
      <c r="DI278" s="18"/>
      <c r="DJ278" s="18"/>
      <c r="DK278" s="18"/>
      <c r="DL278" s="18"/>
      <c r="DM278" s="18"/>
    </row>
    <row r="279" spans="1:117" x14ac:dyDescent="0.3">
      <c r="A279" s="140"/>
      <c r="B279" s="18"/>
      <c r="C279" s="69"/>
      <c r="D279" s="69"/>
      <c r="E279" s="69"/>
      <c r="F279" s="69"/>
      <c r="G279" s="69"/>
      <c r="H279" s="69"/>
      <c r="AI279" s="7"/>
      <c r="AJ279" s="7"/>
      <c r="AK279" s="7"/>
      <c r="AL279" s="7"/>
      <c r="AM279" s="7"/>
      <c r="AN279" s="7"/>
      <c r="AO279" s="7"/>
      <c r="AP279" s="7"/>
      <c r="AQ279" s="7"/>
      <c r="AR279" s="7"/>
      <c r="AS279" s="7"/>
      <c r="AT279" s="7"/>
      <c r="AU279" s="7"/>
      <c r="AV279" s="69"/>
      <c r="AW279" s="32"/>
      <c r="BP279" s="18"/>
      <c r="BQ279" s="18"/>
      <c r="BR279" s="18"/>
      <c r="BS279" s="18"/>
      <c r="BT279" s="18"/>
      <c r="BU279" s="18"/>
      <c r="BV279" s="18"/>
      <c r="BW279" s="18"/>
      <c r="CV279" s="18"/>
      <c r="CW279" s="18"/>
      <c r="CX279" s="18"/>
      <c r="CY279" s="18"/>
      <c r="CZ279" s="18"/>
      <c r="DA279" s="18"/>
      <c r="DB279" s="18"/>
      <c r="DC279" s="18"/>
      <c r="DD279" s="18"/>
      <c r="DE279" s="18"/>
      <c r="DF279" s="18"/>
      <c r="DG279" s="18"/>
      <c r="DH279" s="18"/>
      <c r="DI279" s="18"/>
      <c r="DJ279" s="18"/>
      <c r="DK279" s="18"/>
      <c r="DL279" s="18"/>
      <c r="DM279" s="18"/>
    </row>
    <row r="280" spans="1:117" x14ac:dyDescent="0.3">
      <c r="A280" s="140"/>
      <c r="B280" s="18"/>
      <c r="C280" s="69"/>
      <c r="D280" s="69"/>
      <c r="E280" s="69"/>
      <c r="F280" s="69"/>
      <c r="G280" s="69"/>
      <c r="H280" s="69"/>
      <c r="AI280" s="7"/>
      <c r="AJ280" s="7"/>
      <c r="AK280" s="7"/>
      <c r="AL280" s="7"/>
      <c r="AM280" s="7"/>
      <c r="AN280" s="7"/>
      <c r="AO280" s="7"/>
      <c r="AP280" s="7"/>
      <c r="AQ280" s="7"/>
      <c r="AR280" s="7"/>
      <c r="AS280" s="7"/>
      <c r="AT280" s="7"/>
      <c r="AU280" s="7"/>
      <c r="AV280" s="69"/>
      <c r="AW280" s="32"/>
      <c r="BP280" s="18"/>
      <c r="BQ280" s="18"/>
      <c r="BR280" s="18"/>
      <c r="BS280" s="18"/>
      <c r="BT280" s="18"/>
      <c r="BU280" s="18"/>
      <c r="BV280" s="18"/>
      <c r="BW280" s="18"/>
      <c r="CV280" s="18"/>
      <c r="CW280" s="18"/>
      <c r="CX280" s="18"/>
      <c r="CY280" s="18"/>
      <c r="CZ280" s="18"/>
      <c r="DA280" s="18"/>
      <c r="DB280" s="18"/>
      <c r="DC280" s="18"/>
      <c r="DD280" s="18"/>
      <c r="DE280" s="18"/>
      <c r="DF280" s="18"/>
      <c r="DG280" s="18"/>
      <c r="DH280" s="18"/>
      <c r="DI280" s="18"/>
      <c r="DJ280" s="18"/>
      <c r="DK280" s="18"/>
      <c r="DL280" s="18"/>
      <c r="DM280" s="18"/>
    </row>
    <row r="281" spans="1:117" x14ac:dyDescent="0.3">
      <c r="A281" s="140"/>
      <c r="B281" s="18"/>
      <c r="C281" s="69"/>
      <c r="D281" s="69"/>
      <c r="E281" s="69"/>
      <c r="F281" s="69"/>
      <c r="G281" s="69"/>
      <c r="H281" s="69"/>
      <c r="AI281" s="7"/>
      <c r="AJ281" s="7"/>
      <c r="AK281" s="7"/>
      <c r="AL281" s="7"/>
      <c r="AM281" s="7"/>
      <c r="AN281" s="7"/>
      <c r="AO281" s="7"/>
      <c r="AP281" s="7"/>
      <c r="AQ281" s="7"/>
      <c r="AR281" s="7"/>
      <c r="AS281" s="7"/>
      <c r="AT281" s="7"/>
      <c r="AU281" s="7"/>
      <c r="AV281" s="69"/>
      <c r="AW281" s="32"/>
      <c r="BP281" s="18"/>
      <c r="BQ281" s="18"/>
      <c r="BR281" s="18"/>
      <c r="BS281" s="18"/>
      <c r="BT281" s="18"/>
      <c r="BU281" s="18"/>
      <c r="BV281" s="18"/>
      <c r="BW281" s="18"/>
      <c r="CV281" s="18"/>
      <c r="CW281" s="18"/>
      <c r="CX281" s="18"/>
      <c r="CY281" s="18"/>
      <c r="CZ281" s="18"/>
      <c r="DA281" s="18"/>
      <c r="DB281" s="18"/>
      <c r="DC281" s="18"/>
      <c r="DD281" s="18"/>
      <c r="DE281" s="18"/>
      <c r="DF281" s="18"/>
      <c r="DG281" s="18"/>
      <c r="DH281" s="18"/>
      <c r="DI281" s="18"/>
      <c r="DJ281" s="18"/>
      <c r="DK281" s="18"/>
      <c r="DL281" s="18"/>
      <c r="DM281" s="18"/>
    </row>
    <row r="282" spans="1:117" x14ac:dyDescent="0.3">
      <c r="A282" s="140"/>
      <c r="B282" s="18"/>
      <c r="C282" s="69"/>
      <c r="D282" s="69"/>
      <c r="E282" s="69"/>
      <c r="F282" s="69"/>
      <c r="G282" s="69"/>
      <c r="H282" s="69"/>
      <c r="AI282" s="7"/>
      <c r="AJ282" s="7"/>
      <c r="AK282" s="7"/>
      <c r="AL282" s="7"/>
      <c r="AM282" s="7"/>
      <c r="AN282" s="7"/>
      <c r="AO282" s="7"/>
      <c r="AP282" s="7"/>
      <c r="AQ282" s="7"/>
      <c r="AR282" s="7"/>
      <c r="AS282" s="7"/>
      <c r="AT282" s="7"/>
      <c r="AU282" s="7"/>
      <c r="AV282" s="69"/>
      <c r="AW282" s="32"/>
      <c r="BP282" s="18"/>
      <c r="BQ282" s="18"/>
      <c r="BR282" s="18"/>
      <c r="BS282" s="18"/>
      <c r="BT282" s="18"/>
      <c r="BU282" s="18"/>
      <c r="BV282" s="18"/>
      <c r="BW282" s="18"/>
      <c r="CV282" s="18"/>
      <c r="CW282" s="18"/>
      <c r="CX282" s="18"/>
      <c r="CY282" s="18"/>
      <c r="CZ282" s="18"/>
      <c r="DA282" s="18"/>
      <c r="DB282" s="18"/>
      <c r="DC282" s="18"/>
      <c r="DD282" s="18"/>
      <c r="DE282" s="18"/>
      <c r="DF282" s="18"/>
      <c r="DG282" s="18"/>
      <c r="DH282" s="18"/>
      <c r="DI282" s="18"/>
      <c r="DJ282" s="18"/>
      <c r="DK282" s="18"/>
      <c r="DL282" s="18"/>
      <c r="DM282" s="18"/>
    </row>
    <row r="283" spans="1:117" x14ac:dyDescent="0.3">
      <c r="A283" s="140"/>
      <c r="B283" s="18"/>
      <c r="C283" s="69"/>
      <c r="D283" s="69"/>
      <c r="E283" s="69"/>
      <c r="F283" s="69"/>
      <c r="G283" s="69"/>
      <c r="H283" s="69"/>
      <c r="AI283" s="7"/>
      <c r="AJ283" s="7"/>
      <c r="AK283" s="7"/>
      <c r="AL283" s="7"/>
      <c r="AM283" s="7"/>
      <c r="AN283" s="7"/>
      <c r="AO283" s="7"/>
      <c r="AP283" s="7"/>
      <c r="AQ283" s="7"/>
      <c r="AR283" s="7"/>
      <c r="AS283" s="7"/>
      <c r="AT283" s="7"/>
      <c r="AU283" s="7"/>
      <c r="AV283" s="69"/>
      <c r="AW283" s="32"/>
      <c r="BP283" s="18"/>
      <c r="BQ283" s="18"/>
      <c r="BR283" s="18"/>
      <c r="BS283" s="18"/>
      <c r="BT283" s="18"/>
      <c r="BU283" s="18"/>
      <c r="BV283" s="18"/>
      <c r="BW283" s="18"/>
      <c r="CV283" s="18"/>
      <c r="CW283" s="18"/>
      <c r="CX283" s="18"/>
      <c r="CY283" s="18"/>
      <c r="CZ283" s="18"/>
      <c r="DA283" s="18"/>
      <c r="DB283" s="18"/>
      <c r="DC283" s="18"/>
      <c r="DD283" s="18"/>
      <c r="DE283" s="18"/>
      <c r="DF283" s="18"/>
      <c r="DG283" s="18"/>
      <c r="DH283" s="18"/>
      <c r="DI283" s="18"/>
      <c r="DJ283" s="18"/>
      <c r="DK283" s="18"/>
      <c r="DL283" s="18"/>
      <c r="DM283" s="18"/>
    </row>
    <row r="284" spans="1:117" x14ac:dyDescent="0.3">
      <c r="A284" s="140"/>
      <c r="B284" s="18"/>
      <c r="C284" s="69"/>
      <c r="D284" s="69"/>
      <c r="E284" s="69"/>
      <c r="F284" s="69"/>
      <c r="G284" s="69"/>
      <c r="H284" s="69"/>
      <c r="AI284" s="7"/>
      <c r="AJ284" s="7"/>
      <c r="AK284" s="7"/>
      <c r="AL284" s="7"/>
      <c r="AM284" s="7"/>
      <c r="AN284" s="7"/>
      <c r="AO284" s="7"/>
      <c r="AP284" s="7"/>
      <c r="AQ284" s="7"/>
      <c r="AR284" s="7"/>
      <c r="AS284" s="7"/>
      <c r="AT284" s="7"/>
      <c r="AU284" s="7"/>
      <c r="AV284" s="69"/>
      <c r="AW284" s="32"/>
      <c r="BP284" s="18"/>
      <c r="BQ284" s="18"/>
      <c r="BR284" s="18"/>
      <c r="BS284" s="18"/>
      <c r="BT284" s="18"/>
      <c r="BU284" s="18"/>
      <c r="BV284" s="18"/>
      <c r="BW284" s="18"/>
      <c r="CV284" s="18"/>
      <c r="CW284" s="18"/>
      <c r="CX284" s="18"/>
      <c r="CY284" s="18"/>
      <c r="CZ284" s="18"/>
      <c r="DA284" s="18"/>
      <c r="DB284" s="18"/>
      <c r="DC284" s="18"/>
      <c r="DD284" s="18"/>
      <c r="DE284" s="18"/>
      <c r="DF284" s="18"/>
      <c r="DG284" s="18"/>
      <c r="DH284" s="18"/>
      <c r="DI284" s="18"/>
      <c r="DJ284" s="18"/>
      <c r="DK284" s="18"/>
      <c r="DL284" s="18"/>
      <c r="DM284" s="18"/>
    </row>
    <row r="285" spans="1:117" x14ac:dyDescent="0.3">
      <c r="A285" s="140"/>
      <c r="B285" s="18"/>
      <c r="C285" s="69"/>
      <c r="D285" s="69"/>
      <c r="E285" s="69"/>
      <c r="F285" s="69"/>
      <c r="G285" s="69"/>
      <c r="H285" s="69"/>
      <c r="AI285" s="7"/>
      <c r="AJ285" s="7"/>
      <c r="AK285" s="7"/>
      <c r="AL285" s="7"/>
      <c r="AM285" s="7"/>
      <c r="AN285" s="7"/>
      <c r="AO285" s="7"/>
      <c r="AP285" s="7"/>
      <c r="AQ285" s="7"/>
      <c r="AR285" s="7"/>
      <c r="AS285" s="7"/>
      <c r="AT285" s="7"/>
      <c r="AU285" s="7"/>
      <c r="AV285" s="69"/>
      <c r="AW285" s="32"/>
      <c r="BP285" s="18"/>
      <c r="BQ285" s="18"/>
      <c r="BR285" s="18"/>
      <c r="BS285" s="18"/>
      <c r="BT285" s="18"/>
      <c r="BU285" s="18"/>
      <c r="BV285" s="18"/>
      <c r="BW285" s="18"/>
      <c r="CV285" s="18"/>
      <c r="CW285" s="18"/>
      <c r="CX285" s="18"/>
      <c r="CY285" s="18"/>
      <c r="CZ285" s="18"/>
      <c r="DA285" s="18"/>
      <c r="DB285" s="18"/>
      <c r="DC285" s="18"/>
      <c r="DD285" s="18"/>
      <c r="DE285" s="18"/>
      <c r="DF285" s="18"/>
      <c r="DG285" s="18"/>
      <c r="DH285" s="18"/>
      <c r="DI285" s="18"/>
      <c r="DJ285" s="18"/>
      <c r="DK285" s="18"/>
      <c r="DL285" s="18"/>
      <c r="DM285" s="18"/>
    </row>
    <row r="286" spans="1:117" x14ac:dyDescent="0.3">
      <c r="A286" s="140"/>
      <c r="B286" s="18"/>
      <c r="C286" s="69"/>
      <c r="D286" s="69"/>
      <c r="E286" s="69"/>
      <c r="F286" s="69"/>
      <c r="G286" s="69"/>
      <c r="H286" s="69"/>
      <c r="AI286" s="7"/>
      <c r="AJ286" s="7"/>
      <c r="AK286" s="7"/>
      <c r="AL286" s="7"/>
      <c r="AM286" s="7"/>
      <c r="AN286" s="7"/>
      <c r="AO286" s="7"/>
      <c r="AP286" s="7"/>
      <c r="AQ286" s="7"/>
      <c r="AR286" s="7"/>
      <c r="AS286" s="7"/>
      <c r="AT286" s="7"/>
      <c r="AU286" s="7"/>
      <c r="AV286" s="69"/>
      <c r="AW286" s="32"/>
      <c r="BP286" s="18"/>
      <c r="BQ286" s="18"/>
      <c r="BR286" s="18"/>
      <c r="BS286" s="18"/>
      <c r="BT286" s="18"/>
      <c r="BU286" s="18"/>
      <c r="BV286" s="18"/>
      <c r="BW286" s="18"/>
      <c r="CV286" s="18"/>
      <c r="CW286" s="18"/>
      <c r="CX286" s="18"/>
      <c r="CY286" s="18"/>
      <c r="CZ286" s="18"/>
      <c r="DA286" s="18"/>
      <c r="DB286" s="18"/>
      <c r="DC286" s="18"/>
      <c r="DD286" s="18"/>
      <c r="DE286" s="18"/>
      <c r="DF286" s="18"/>
      <c r="DG286" s="18"/>
      <c r="DH286" s="18"/>
      <c r="DI286" s="18"/>
      <c r="DJ286" s="18"/>
      <c r="DK286" s="18"/>
      <c r="DL286" s="18"/>
      <c r="DM286" s="18"/>
    </row>
    <row r="287" spans="1:117" x14ac:dyDescent="0.3">
      <c r="A287" s="140"/>
      <c r="B287" s="18"/>
      <c r="C287" s="69"/>
      <c r="D287" s="69"/>
      <c r="E287" s="69"/>
      <c r="F287" s="69"/>
      <c r="G287" s="69"/>
      <c r="H287" s="69"/>
      <c r="AI287" s="7"/>
      <c r="AJ287" s="7"/>
      <c r="AK287" s="7"/>
      <c r="AL287" s="7"/>
      <c r="AM287" s="7"/>
      <c r="AN287" s="7"/>
      <c r="AO287" s="7"/>
      <c r="AP287" s="7"/>
      <c r="AQ287" s="7"/>
      <c r="AR287" s="7"/>
      <c r="AS287" s="7"/>
      <c r="AT287" s="7"/>
      <c r="AU287" s="7"/>
      <c r="AV287" s="69"/>
      <c r="AW287" s="32"/>
      <c r="BP287" s="18"/>
      <c r="BQ287" s="18"/>
      <c r="BR287" s="18"/>
      <c r="BS287" s="18"/>
      <c r="BT287" s="18"/>
      <c r="BU287" s="18"/>
      <c r="BV287" s="18"/>
      <c r="BW287" s="18"/>
      <c r="CV287" s="18"/>
      <c r="CW287" s="18"/>
      <c r="CX287" s="18"/>
      <c r="CY287" s="18"/>
      <c r="CZ287" s="18"/>
      <c r="DA287" s="18"/>
      <c r="DB287" s="18"/>
      <c r="DC287" s="18"/>
      <c r="DD287" s="18"/>
      <c r="DE287" s="18"/>
      <c r="DF287" s="18"/>
      <c r="DG287" s="18"/>
      <c r="DH287" s="18"/>
      <c r="DI287" s="18"/>
      <c r="DJ287" s="18"/>
      <c r="DK287" s="18"/>
      <c r="DL287" s="18"/>
      <c r="DM287" s="18"/>
    </row>
    <row r="288" spans="1:117" x14ac:dyDescent="0.3">
      <c r="A288" s="140"/>
      <c r="B288" s="18"/>
      <c r="C288" s="69"/>
      <c r="D288" s="69"/>
      <c r="E288" s="69"/>
      <c r="F288" s="69"/>
      <c r="G288" s="69"/>
      <c r="H288" s="69"/>
      <c r="AI288" s="7"/>
      <c r="AJ288" s="7"/>
      <c r="AK288" s="7"/>
      <c r="AL288" s="7"/>
      <c r="AM288" s="7"/>
      <c r="AN288" s="7"/>
      <c r="AO288" s="7"/>
      <c r="AP288" s="7"/>
      <c r="AQ288" s="7"/>
      <c r="AR288" s="7"/>
      <c r="AS288" s="7"/>
      <c r="AT288" s="7"/>
      <c r="AU288" s="7"/>
      <c r="AV288" s="69"/>
      <c r="BP288" s="18"/>
      <c r="BQ288" s="18"/>
      <c r="BR288" s="18"/>
      <c r="BS288" s="18"/>
      <c r="BT288" s="18"/>
      <c r="BU288" s="18"/>
      <c r="BV288" s="18"/>
      <c r="BW288" s="18"/>
      <c r="CV288" s="18"/>
      <c r="CW288" s="18"/>
      <c r="CX288" s="18"/>
      <c r="CY288" s="18"/>
      <c r="CZ288" s="18"/>
      <c r="DA288" s="18"/>
      <c r="DB288" s="18"/>
      <c r="DC288" s="18"/>
      <c r="DD288" s="18"/>
      <c r="DE288" s="18"/>
      <c r="DF288" s="18"/>
      <c r="DG288" s="18"/>
      <c r="DH288" s="18"/>
      <c r="DI288" s="18"/>
      <c r="DJ288" s="18"/>
      <c r="DK288" s="18"/>
      <c r="DL288" s="18"/>
      <c r="DM288" s="18"/>
    </row>
    <row r="289" spans="1:117" x14ac:dyDescent="0.3">
      <c r="A289" s="140"/>
      <c r="B289" s="18"/>
      <c r="C289" s="69"/>
      <c r="D289" s="69"/>
      <c r="E289" s="69"/>
      <c r="F289" s="69"/>
      <c r="G289" s="69"/>
      <c r="H289" s="69"/>
      <c r="AI289" s="7"/>
      <c r="AJ289" s="7"/>
      <c r="AK289" s="7"/>
      <c r="AL289" s="7"/>
      <c r="AM289" s="7"/>
      <c r="AN289" s="7"/>
      <c r="AO289" s="7"/>
      <c r="AP289" s="7"/>
      <c r="AQ289" s="7"/>
      <c r="AR289" s="7"/>
      <c r="AS289" s="7"/>
      <c r="AT289" s="7"/>
      <c r="AU289" s="7"/>
      <c r="AV289" s="69"/>
      <c r="BP289" s="18"/>
      <c r="BQ289" s="18"/>
      <c r="BR289" s="18"/>
      <c r="BS289" s="18"/>
      <c r="BT289" s="18"/>
      <c r="BU289" s="18"/>
      <c r="BV289" s="18"/>
      <c r="BW289" s="18"/>
      <c r="CV289" s="18"/>
      <c r="CW289" s="18"/>
      <c r="CX289" s="18"/>
      <c r="CY289" s="18"/>
      <c r="CZ289" s="18"/>
      <c r="DA289" s="18"/>
      <c r="DB289" s="18"/>
      <c r="DC289" s="18"/>
      <c r="DD289" s="18"/>
      <c r="DE289" s="18"/>
      <c r="DF289" s="18"/>
      <c r="DG289" s="18"/>
      <c r="DH289" s="18"/>
      <c r="DI289" s="18"/>
      <c r="DJ289" s="18"/>
      <c r="DK289" s="18"/>
      <c r="DL289" s="18"/>
      <c r="DM289" s="18"/>
    </row>
    <row r="290" spans="1:117" x14ac:dyDescent="0.3">
      <c r="A290" s="140"/>
      <c r="B290" s="18"/>
      <c r="C290" s="69"/>
      <c r="D290" s="69"/>
      <c r="E290" s="69"/>
      <c r="F290" s="69"/>
      <c r="G290" s="69"/>
      <c r="H290" s="69"/>
      <c r="AI290" s="7"/>
      <c r="AJ290" s="7"/>
      <c r="AK290" s="7"/>
      <c r="AL290" s="7"/>
      <c r="AM290" s="7"/>
      <c r="AN290" s="7"/>
      <c r="AO290" s="7"/>
      <c r="AP290" s="7"/>
      <c r="AQ290" s="7"/>
      <c r="AR290" s="7"/>
      <c r="AS290" s="7"/>
      <c r="AT290" s="7"/>
      <c r="AU290" s="7"/>
      <c r="AV290" s="69"/>
      <c r="BP290" s="18"/>
      <c r="BQ290" s="18"/>
      <c r="BR290" s="18"/>
      <c r="BS290" s="18"/>
      <c r="BT290" s="18"/>
      <c r="BU290" s="18"/>
      <c r="BV290" s="18"/>
      <c r="BW290" s="18"/>
      <c r="CV290" s="18"/>
      <c r="CW290" s="18"/>
      <c r="CX290" s="18"/>
      <c r="CY290" s="18"/>
      <c r="CZ290" s="18"/>
      <c r="DA290" s="18"/>
      <c r="DB290" s="18"/>
      <c r="DC290" s="18"/>
      <c r="DD290" s="18"/>
      <c r="DE290" s="18"/>
      <c r="DF290" s="18"/>
      <c r="DG290" s="18"/>
      <c r="DH290" s="18"/>
      <c r="DI290" s="18"/>
      <c r="DJ290" s="18"/>
      <c r="DK290" s="18"/>
      <c r="DL290" s="18"/>
      <c r="DM290" s="18"/>
    </row>
    <row r="291" spans="1:117" x14ac:dyDescent="0.3">
      <c r="A291" s="140"/>
      <c r="B291" s="18"/>
      <c r="C291" s="69"/>
      <c r="D291" s="69"/>
      <c r="E291" s="69"/>
      <c r="F291" s="69"/>
      <c r="G291" s="69"/>
      <c r="H291" s="69"/>
      <c r="AI291" s="7"/>
      <c r="AJ291" s="7"/>
      <c r="AK291" s="7"/>
      <c r="AL291" s="7"/>
      <c r="AM291" s="7"/>
      <c r="AN291" s="7"/>
      <c r="AO291" s="7"/>
      <c r="AP291" s="7"/>
      <c r="AQ291" s="7"/>
      <c r="AR291" s="7"/>
      <c r="AS291" s="7"/>
      <c r="AT291" s="7"/>
      <c r="AU291" s="7"/>
      <c r="AV291" s="69"/>
      <c r="BP291" s="18"/>
      <c r="BQ291" s="18"/>
      <c r="BR291" s="18"/>
      <c r="BS291" s="18"/>
      <c r="BT291" s="18"/>
      <c r="BU291" s="18"/>
      <c r="BV291" s="18"/>
      <c r="BW291" s="18"/>
      <c r="CV291" s="18"/>
      <c r="CW291" s="18"/>
      <c r="CX291" s="18"/>
      <c r="CY291" s="18"/>
      <c r="CZ291" s="18"/>
      <c r="DA291" s="18"/>
      <c r="DB291" s="18"/>
      <c r="DC291" s="18"/>
      <c r="DD291" s="18"/>
      <c r="DE291" s="18"/>
      <c r="DF291" s="18"/>
      <c r="DG291" s="18"/>
      <c r="DH291" s="18"/>
      <c r="DI291" s="18"/>
      <c r="DJ291" s="18"/>
      <c r="DK291" s="18"/>
      <c r="DL291" s="18"/>
      <c r="DM291" s="18"/>
    </row>
    <row r="292" spans="1:117" x14ac:dyDescent="0.3">
      <c r="A292" s="140"/>
      <c r="B292" s="18"/>
      <c r="C292" s="69"/>
      <c r="D292" s="69"/>
      <c r="E292" s="69"/>
      <c r="F292" s="69"/>
      <c r="G292" s="69"/>
      <c r="H292" s="69"/>
      <c r="AI292" s="7"/>
      <c r="AJ292" s="7"/>
      <c r="AK292" s="7"/>
      <c r="AL292" s="7"/>
      <c r="AM292" s="7"/>
      <c r="AN292" s="7"/>
      <c r="AO292" s="7"/>
      <c r="AP292" s="7"/>
      <c r="AQ292" s="7"/>
      <c r="AR292" s="7"/>
      <c r="AS292" s="7"/>
      <c r="AT292" s="7"/>
      <c r="AU292" s="7"/>
      <c r="AV292" s="69"/>
      <c r="BP292" s="18"/>
      <c r="BQ292" s="18"/>
      <c r="BR292" s="18"/>
      <c r="BS292" s="18"/>
      <c r="BT292" s="18"/>
      <c r="BU292" s="18"/>
      <c r="BV292" s="18"/>
      <c r="BW292" s="18"/>
      <c r="CV292" s="18"/>
      <c r="CW292" s="18"/>
      <c r="CX292" s="18"/>
      <c r="CY292" s="18"/>
      <c r="CZ292" s="18"/>
      <c r="DA292" s="18"/>
      <c r="DB292" s="18"/>
      <c r="DC292" s="18"/>
      <c r="DD292" s="18"/>
      <c r="DE292" s="18"/>
      <c r="DF292" s="18"/>
      <c r="DG292" s="18"/>
      <c r="DH292" s="18"/>
      <c r="DI292" s="18"/>
      <c r="DJ292" s="18"/>
      <c r="DK292" s="18"/>
      <c r="DL292" s="18"/>
      <c r="DM292" s="18"/>
    </row>
    <row r="293" spans="1:117" x14ac:dyDescent="0.3">
      <c r="A293" s="140"/>
      <c r="B293" s="18"/>
      <c r="C293" s="69"/>
      <c r="D293" s="69"/>
      <c r="E293" s="69"/>
      <c r="F293" s="69"/>
      <c r="G293" s="69"/>
      <c r="H293" s="69"/>
      <c r="AI293" s="7"/>
      <c r="AJ293" s="7"/>
      <c r="AK293" s="7"/>
      <c r="AL293" s="7"/>
      <c r="AM293" s="7"/>
      <c r="AN293" s="7"/>
      <c r="AO293" s="7"/>
      <c r="AP293" s="7"/>
      <c r="AQ293" s="7"/>
      <c r="AR293" s="7"/>
      <c r="AS293" s="7"/>
      <c r="AT293" s="7"/>
      <c r="AU293" s="7"/>
      <c r="AV293" s="69"/>
      <c r="BP293" s="18"/>
      <c r="BQ293" s="18"/>
      <c r="BR293" s="18"/>
      <c r="BS293" s="18"/>
      <c r="BT293" s="18"/>
      <c r="BU293" s="18"/>
      <c r="BV293" s="18"/>
      <c r="BW293" s="18"/>
      <c r="CV293" s="18"/>
      <c r="CW293" s="18"/>
      <c r="CX293" s="18"/>
      <c r="CY293" s="18"/>
      <c r="CZ293" s="18"/>
      <c r="DA293" s="18"/>
      <c r="DB293" s="18"/>
      <c r="DC293" s="18"/>
      <c r="DD293" s="18"/>
      <c r="DE293" s="18"/>
      <c r="DF293" s="18"/>
      <c r="DG293" s="18"/>
      <c r="DH293" s="18"/>
      <c r="DI293" s="18"/>
      <c r="DJ293" s="18"/>
      <c r="DK293" s="18"/>
      <c r="DL293" s="18"/>
      <c r="DM293" s="18"/>
    </row>
    <row r="294" spans="1:117" x14ac:dyDescent="0.3">
      <c r="A294" s="140"/>
      <c r="B294" s="18"/>
      <c r="C294" s="69"/>
      <c r="D294" s="69"/>
      <c r="E294" s="69"/>
      <c r="F294" s="69"/>
      <c r="G294" s="69"/>
      <c r="H294" s="69"/>
      <c r="AI294" s="7"/>
      <c r="AJ294" s="7"/>
      <c r="AK294" s="7"/>
      <c r="AL294" s="7"/>
      <c r="AM294" s="7"/>
      <c r="AN294" s="7"/>
      <c r="AO294" s="7"/>
      <c r="AP294" s="7"/>
      <c r="AQ294" s="7"/>
      <c r="AR294" s="7"/>
      <c r="AS294" s="7"/>
      <c r="AT294" s="7"/>
      <c r="AU294" s="7"/>
      <c r="AV294" s="69"/>
      <c r="BP294" s="18"/>
      <c r="BQ294" s="18"/>
      <c r="BR294" s="18"/>
      <c r="BS294" s="18"/>
      <c r="BT294" s="18"/>
      <c r="BU294" s="18"/>
      <c r="BV294" s="18"/>
      <c r="BW294" s="18"/>
      <c r="CV294" s="18"/>
      <c r="CW294" s="18"/>
      <c r="CX294" s="18"/>
      <c r="CY294" s="18"/>
      <c r="CZ294" s="18"/>
      <c r="DA294" s="18"/>
      <c r="DB294" s="18"/>
      <c r="DC294" s="18"/>
      <c r="DD294" s="18"/>
      <c r="DE294" s="18"/>
      <c r="DF294" s="18"/>
      <c r="DG294" s="18"/>
      <c r="DH294" s="18"/>
      <c r="DI294" s="18"/>
      <c r="DJ294" s="18"/>
      <c r="DK294" s="18"/>
      <c r="DL294" s="18"/>
      <c r="DM294" s="18"/>
    </row>
    <row r="295" spans="1:117" x14ac:dyDescent="0.3">
      <c r="A295" s="140"/>
      <c r="B295" s="18"/>
      <c r="C295" s="69"/>
      <c r="D295" s="69"/>
      <c r="E295" s="69"/>
      <c r="F295" s="69"/>
      <c r="G295" s="69"/>
      <c r="H295" s="69"/>
      <c r="AI295" s="7"/>
      <c r="AJ295" s="7"/>
      <c r="AK295" s="7"/>
      <c r="AL295" s="7"/>
      <c r="AM295" s="7"/>
      <c r="AN295" s="7"/>
      <c r="AO295" s="7"/>
      <c r="AP295" s="7"/>
      <c r="AQ295" s="7"/>
      <c r="AR295" s="7"/>
      <c r="AS295" s="7"/>
      <c r="AT295" s="7"/>
      <c r="AU295" s="7"/>
      <c r="AV295" s="69"/>
      <c r="BP295" s="18"/>
      <c r="BQ295" s="18"/>
      <c r="BR295" s="18"/>
      <c r="BS295" s="18"/>
      <c r="BT295" s="18"/>
      <c r="BU295" s="18"/>
      <c r="BV295" s="18"/>
      <c r="BW295" s="18"/>
      <c r="CV295" s="18"/>
      <c r="CW295" s="18"/>
      <c r="CX295" s="18"/>
      <c r="CY295" s="18"/>
      <c r="CZ295" s="18"/>
      <c r="DA295" s="18"/>
      <c r="DB295" s="18"/>
      <c r="DC295" s="18"/>
      <c r="DD295" s="18"/>
      <c r="DE295" s="18"/>
      <c r="DF295" s="18"/>
      <c r="DG295" s="18"/>
      <c r="DH295" s="18"/>
      <c r="DI295" s="18"/>
      <c r="DJ295" s="18"/>
      <c r="DK295" s="18"/>
      <c r="DL295" s="18"/>
      <c r="DM295" s="18"/>
    </row>
    <row r="296" spans="1:117" x14ac:dyDescent="0.3">
      <c r="A296" s="140"/>
      <c r="B296" s="18"/>
      <c r="C296" s="69"/>
      <c r="D296" s="69"/>
      <c r="E296" s="69"/>
      <c r="F296" s="69"/>
      <c r="G296" s="69"/>
      <c r="H296" s="69"/>
      <c r="AI296" s="7"/>
      <c r="AJ296" s="7"/>
      <c r="AK296" s="7"/>
      <c r="AL296" s="7"/>
      <c r="AM296" s="7"/>
      <c r="AN296" s="7"/>
      <c r="AO296" s="7"/>
      <c r="AP296" s="7"/>
      <c r="AQ296" s="7"/>
      <c r="AR296" s="7"/>
      <c r="AS296" s="7"/>
      <c r="AT296" s="7"/>
      <c r="AU296" s="7"/>
      <c r="AV296" s="69"/>
      <c r="BP296" s="18"/>
      <c r="BQ296" s="18"/>
      <c r="BR296" s="18"/>
      <c r="BS296" s="18"/>
      <c r="BT296" s="18"/>
      <c r="BU296" s="18"/>
      <c r="BV296" s="18"/>
      <c r="BW296" s="18"/>
      <c r="CV296" s="18"/>
      <c r="CW296" s="18"/>
      <c r="CX296" s="18"/>
      <c r="CY296" s="18"/>
      <c r="CZ296" s="18"/>
      <c r="DA296" s="18"/>
      <c r="DB296" s="18"/>
      <c r="DC296" s="18"/>
      <c r="DD296" s="18"/>
      <c r="DE296" s="18"/>
      <c r="DF296" s="18"/>
      <c r="DG296" s="18"/>
      <c r="DH296" s="18"/>
      <c r="DI296" s="18"/>
      <c r="DJ296" s="18"/>
      <c r="DK296" s="18"/>
      <c r="DL296" s="18"/>
      <c r="DM296" s="18"/>
    </row>
    <row r="297" spans="1:117" x14ac:dyDescent="0.3">
      <c r="A297" s="140"/>
      <c r="B297" s="18"/>
      <c r="C297" s="69"/>
      <c r="D297" s="69"/>
      <c r="E297" s="69"/>
      <c r="F297" s="69"/>
      <c r="G297" s="69"/>
      <c r="H297" s="69"/>
      <c r="AI297" s="7"/>
      <c r="AJ297" s="7"/>
      <c r="AK297" s="7"/>
      <c r="AL297" s="7"/>
      <c r="AM297" s="7"/>
      <c r="AN297" s="7"/>
      <c r="AO297" s="7"/>
      <c r="AP297" s="7"/>
      <c r="AQ297" s="7"/>
      <c r="AR297" s="7"/>
      <c r="AS297" s="7"/>
      <c r="AT297" s="7"/>
      <c r="AU297" s="7"/>
      <c r="AV297" s="69"/>
      <c r="BP297" s="18"/>
      <c r="BQ297" s="18"/>
      <c r="BR297" s="18"/>
      <c r="BS297" s="18"/>
      <c r="BT297" s="18"/>
      <c r="BU297" s="18"/>
      <c r="BV297" s="18"/>
      <c r="BW297" s="18"/>
      <c r="CV297" s="18"/>
      <c r="CW297" s="18"/>
      <c r="CX297" s="18"/>
      <c r="CY297" s="18"/>
      <c r="CZ297" s="18"/>
      <c r="DA297" s="18"/>
      <c r="DB297" s="18"/>
      <c r="DC297" s="18"/>
      <c r="DD297" s="18"/>
      <c r="DE297" s="18"/>
      <c r="DF297" s="18"/>
      <c r="DG297" s="18"/>
      <c r="DH297" s="18"/>
      <c r="DI297" s="18"/>
      <c r="DJ297" s="18"/>
      <c r="DK297" s="18"/>
      <c r="DL297" s="18"/>
      <c r="DM297" s="18"/>
    </row>
    <row r="298" spans="1:117" x14ac:dyDescent="0.3">
      <c r="A298" s="140"/>
      <c r="B298" s="18"/>
      <c r="C298" s="69"/>
      <c r="D298" s="69"/>
      <c r="E298" s="69"/>
      <c r="F298" s="69"/>
      <c r="G298" s="69"/>
      <c r="H298" s="69"/>
      <c r="AI298" s="7"/>
      <c r="AJ298" s="7"/>
      <c r="AK298" s="7"/>
      <c r="AL298" s="7"/>
      <c r="AM298" s="7"/>
      <c r="AN298" s="7"/>
      <c r="AO298" s="7"/>
      <c r="AP298" s="7"/>
      <c r="AQ298" s="7"/>
      <c r="AR298" s="7"/>
      <c r="AS298" s="7"/>
      <c r="AT298" s="7"/>
      <c r="AU298" s="7"/>
      <c r="AV298" s="69"/>
      <c r="BP298" s="18"/>
      <c r="BQ298" s="18"/>
      <c r="BR298" s="18"/>
      <c r="BS298" s="18"/>
      <c r="BT298" s="18"/>
      <c r="BU298" s="18"/>
      <c r="BV298" s="18"/>
      <c r="BW298" s="18"/>
      <c r="CV298" s="18"/>
      <c r="CW298" s="18"/>
      <c r="CX298" s="18"/>
      <c r="CY298" s="18"/>
      <c r="CZ298" s="18"/>
      <c r="DA298" s="18"/>
      <c r="DB298" s="18"/>
      <c r="DC298" s="18"/>
      <c r="DD298" s="18"/>
      <c r="DE298" s="18"/>
      <c r="DF298" s="18"/>
      <c r="DG298" s="18"/>
      <c r="DH298" s="18"/>
      <c r="DI298" s="18"/>
      <c r="DJ298" s="18"/>
      <c r="DK298" s="18"/>
      <c r="DL298" s="18"/>
      <c r="DM298" s="18"/>
    </row>
    <row r="299" spans="1:117" x14ac:dyDescent="0.3">
      <c r="A299" s="140"/>
      <c r="B299" s="18"/>
      <c r="C299" s="69"/>
      <c r="D299" s="69"/>
      <c r="E299" s="69"/>
      <c r="F299" s="69"/>
      <c r="G299" s="69"/>
      <c r="H299" s="69"/>
      <c r="AI299" s="7"/>
      <c r="AJ299" s="7"/>
      <c r="AK299" s="7"/>
      <c r="AL299" s="7"/>
      <c r="AM299" s="7"/>
      <c r="AN299" s="7"/>
      <c r="AO299" s="7"/>
      <c r="AP299" s="7"/>
      <c r="AQ299" s="7"/>
      <c r="AR299" s="7"/>
      <c r="AS299" s="7"/>
      <c r="AT299" s="7"/>
      <c r="AU299" s="7"/>
      <c r="AV299" s="69"/>
      <c r="BP299" s="18"/>
      <c r="BQ299" s="18"/>
      <c r="BR299" s="18"/>
      <c r="BS299" s="18"/>
      <c r="BT299" s="18"/>
      <c r="BU299" s="18"/>
      <c r="BV299" s="18"/>
      <c r="BW299" s="18"/>
      <c r="CV299" s="18"/>
      <c r="CW299" s="18"/>
      <c r="CX299" s="18"/>
      <c r="CY299" s="18"/>
      <c r="CZ299" s="18"/>
      <c r="DA299" s="18"/>
      <c r="DB299" s="18"/>
      <c r="DC299" s="18"/>
      <c r="DD299" s="18"/>
      <c r="DE299" s="18"/>
      <c r="DF299" s="18"/>
      <c r="DG299" s="18"/>
      <c r="DH299" s="18"/>
      <c r="DI299" s="18"/>
      <c r="DJ299" s="18"/>
      <c r="DK299" s="18"/>
      <c r="DL299" s="18"/>
      <c r="DM299" s="18"/>
    </row>
    <row r="300" spans="1:117" x14ac:dyDescent="0.3">
      <c r="A300" s="140"/>
      <c r="B300" s="18"/>
      <c r="C300" s="69"/>
      <c r="D300" s="69"/>
      <c r="E300" s="69"/>
      <c r="F300" s="69"/>
      <c r="G300" s="69"/>
      <c r="H300" s="69"/>
      <c r="AI300" s="7"/>
      <c r="AJ300" s="7"/>
      <c r="AK300" s="7"/>
      <c r="AL300" s="7"/>
      <c r="AM300" s="7"/>
      <c r="AN300" s="7"/>
      <c r="AO300" s="7"/>
      <c r="AP300" s="7"/>
      <c r="AQ300" s="7"/>
      <c r="AR300" s="7"/>
      <c r="AS300" s="7"/>
      <c r="AT300" s="7"/>
      <c r="AU300" s="7"/>
      <c r="AV300" s="69"/>
      <c r="BP300" s="18"/>
      <c r="BQ300" s="18"/>
      <c r="BR300" s="18"/>
      <c r="BS300" s="18"/>
      <c r="BT300" s="18"/>
      <c r="BU300" s="18"/>
      <c r="BV300" s="18"/>
      <c r="BW300" s="18"/>
      <c r="CV300" s="18"/>
      <c r="CW300" s="18"/>
      <c r="CX300" s="18"/>
      <c r="CY300" s="18"/>
      <c r="CZ300" s="18"/>
      <c r="DA300" s="18"/>
      <c r="DB300" s="18"/>
      <c r="DC300" s="18"/>
      <c r="DD300" s="18"/>
      <c r="DE300" s="18"/>
      <c r="DF300" s="18"/>
      <c r="DG300" s="18"/>
      <c r="DH300" s="18"/>
      <c r="DI300" s="18"/>
      <c r="DJ300" s="18"/>
      <c r="DK300" s="18"/>
      <c r="DL300" s="18"/>
      <c r="DM300" s="18"/>
    </row>
    <row r="301" spans="1:117" x14ac:dyDescent="0.3">
      <c r="A301" s="140"/>
      <c r="B301" s="18"/>
      <c r="C301" s="69"/>
      <c r="D301" s="69"/>
      <c r="E301" s="69"/>
      <c r="F301" s="69"/>
      <c r="G301" s="69"/>
      <c r="H301" s="69"/>
      <c r="AI301" s="7"/>
      <c r="AJ301" s="7"/>
      <c r="AK301" s="7"/>
      <c r="AL301" s="7"/>
      <c r="AM301" s="7"/>
      <c r="AN301" s="7"/>
      <c r="AO301" s="7"/>
      <c r="AP301" s="7"/>
      <c r="AQ301" s="7"/>
      <c r="AR301" s="7"/>
      <c r="AS301" s="7"/>
      <c r="AT301" s="7"/>
      <c r="AU301" s="7"/>
      <c r="AV301" s="69"/>
      <c r="BP301" s="18"/>
      <c r="BQ301" s="18"/>
      <c r="BR301" s="18"/>
      <c r="BS301" s="18"/>
      <c r="BT301" s="18"/>
      <c r="BU301" s="18"/>
      <c r="BV301" s="18"/>
      <c r="BW301" s="18"/>
      <c r="CV301" s="18"/>
      <c r="CW301" s="18"/>
      <c r="CX301" s="18"/>
      <c r="CY301" s="18"/>
      <c r="CZ301" s="18"/>
      <c r="DA301" s="18"/>
      <c r="DB301" s="18"/>
      <c r="DC301" s="18"/>
      <c r="DD301" s="18"/>
      <c r="DE301" s="18"/>
      <c r="DF301" s="18"/>
      <c r="DG301" s="18"/>
      <c r="DH301" s="18"/>
      <c r="DI301" s="18"/>
      <c r="DJ301" s="18"/>
      <c r="DK301" s="18"/>
      <c r="DL301" s="18"/>
      <c r="DM301" s="18"/>
    </row>
    <row r="302" spans="1:117" x14ac:dyDescent="0.3">
      <c r="A302" s="140"/>
      <c r="B302" s="18"/>
      <c r="C302" s="69"/>
      <c r="D302" s="69"/>
      <c r="E302" s="69"/>
      <c r="F302" s="69"/>
      <c r="G302" s="69"/>
      <c r="H302" s="69"/>
      <c r="AI302" s="7"/>
      <c r="AJ302" s="7"/>
      <c r="AK302" s="7"/>
      <c r="AL302" s="7"/>
      <c r="AM302" s="7"/>
      <c r="AN302" s="7"/>
      <c r="AO302" s="7"/>
      <c r="AP302" s="7"/>
      <c r="AQ302" s="7"/>
      <c r="AR302" s="7"/>
      <c r="AS302" s="7"/>
      <c r="AT302" s="7"/>
      <c r="AU302" s="7"/>
      <c r="AV302" s="69"/>
      <c r="BP302" s="18"/>
      <c r="BQ302" s="18"/>
      <c r="BR302" s="18"/>
      <c r="BS302" s="18"/>
      <c r="BT302" s="18"/>
      <c r="BU302" s="18"/>
      <c r="BV302" s="18"/>
      <c r="BW302" s="18"/>
      <c r="CV302" s="18"/>
      <c r="CW302" s="18"/>
      <c r="CX302" s="18"/>
      <c r="CY302" s="18"/>
      <c r="CZ302" s="18"/>
      <c r="DA302" s="18"/>
      <c r="DB302" s="18"/>
      <c r="DC302" s="18"/>
      <c r="DD302" s="18"/>
      <c r="DE302" s="18"/>
      <c r="DF302" s="18"/>
      <c r="DG302" s="18"/>
      <c r="DH302" s="18"/>
      <c r="DI302" s="18"/>
      <c r="DJ302" s="18"/>
      <c r="DK302" s="18"/>
      <c r="DL302" s="18"/>
      <c r="DM302" s="18"/>
    </row>
    <row r="303" spans="1:117" x14ac:dyDescent="0.3">
      <c r="A303" s="140"/>
      <c r="B303" s="18"/>
      <c r="C303" s="69"/>
      <c r="D303" s="69"/>
      <c r="E303" s="69"/>
      <c r="F303" s="69"/>
      <c r="G303" s="69"/>
      <c r="H303" s="69"/>
      <c r="AI303" s="7"/>
      <c r="AJ303" s="7"/>
      <c r="AK303" s="7"/>
      <c r="AL303" s="7"/>
      <c r="AM303" s="7"/>
      <c r="AN303" s="7"/>
      <c r="AO303" s="7"/>
      <c r="AP303" s="7"/>
      <c r="AQ303" s="7"/>
      <c r="AR303" s="7"/>
      <c r="AS303" s="7"/>
      <c r="AT303" s="7"/>
      <c r="AU303" s="7"/>
      <c r="AV303" s="69"/>
      <c r="BP303" s="18"/>
      <c r="BQ303" s="18"/>
      <c r="BR303" s="18"/>
      <c r="BS303" s="18"/>
      <c r="BT303" s="18"/>
      <c r="BU303" s="18"/>
      <c r="BV303" s="18"/>
      <c r="BW303" s="18"/>
      <c r="CV303" s="18"/>
      <c r="CW303" s="18"/>
      <c r="CX303" s="18"/>
      <c r="CY303" s="18"/>
      <c r="CZ303" s="18"/>
      <c r="DA303" s="18"/>
      <c r="DB303" s="18"/>
      <c r="DC303" s="18"/>
      <c r="DD303" s="18"/>
      <c r="DE303" s="18"/>
      <c r="DF303" s="18"/>
      <c r="DG303" s="18"/>
      <c r="DH303" s="18"/>
      <c r="DI303" s="18"/>
      <c r="DJ303" s="18"/>
      <c r="DK303" s="18"/>
      <c r="DL303" s="18"/>
      <c r="DM303" s="18"/>
    </row>
    <row r="304" spans="1:117" x14ac:dyDescent="0.3">
      <c r="A304" s="140"/>
      <c r="B304" s="18"/>
      <c r="C304" s="69"/>
      <c r="D304" s="69"/>
      <c r="E304" s="69"/>
      <c r="F304" s="69"/>
      <c r="G304" s="69"/>
      <c r="H304" s="69"/>
      <c r="AI304" s="7"/>
      <c r="AJ304" s="7"/>
      <c r="AK304" s="7"/>
      <c r="AL304" s="7"/>
      <c r="AM304" s="7"/>
      <c r="AN304" s="7"/>
      <c r="AO304" s="7"/>
      <c r="AP304" s="7"/>
      <c r="AQ304" s="7"/>
      <c r="AR304" s="7"/>
      <c r="AS304" s="7"/>
      <c r="AT304" s="7"/>
      <c r="AU304" s="7"/>
      <c r="AV304" s="69"/>
      <c r="BP304" s="18"/>
      <c r="BQ304" s="18"/>
      <c r="BR304" s="18"/>
      <c r="BS304" s="18"/>
      <c r="BT304" s="18"/>
      <c r="BU304" s="18"/>
      <c r="BV304" s="18"/>
      <c r="BW304" s="18"/>
      <c r="CV304" s="18"/>
      <c r="CW304" s="18"/>
      <c r="CX304" s="18"/>
      <c r="CY304" s="18"/>
      <c r="CZ304" s="18"/>
      <c r="DA304" s="18"/>
      <c r="DB304" s="18"/>
      <c r="DC304" s="18"/>
      <c r="DD304" s="18"/>
      <c r="DE304" s="18"/>
      <c r="DF304" s="18"/>
      <c r="DG304" s="18"/>
      <c r="DH304" s="18"/>
      <c r="DI304" s="18"/>
      <c r="DJ304" s="18"/>
      <c r="DK304" s="18"/>
      <c r="DL304" s="18"/>
      <c r="DM304" s="18"/>
    </row>
    <row r="305" spans="1:117" x14ac:dyDescent="0.3">
      <c r="A305" s="140"/>
      <c r="B305" s="18"/>
      <c r="C305" s="69"/>
      <c r="D305" s="69"/>
      <c r="E305" s="69"/>
      <c r="F305" s="69"/>
      <c r="G305" s="69"/>
      <c r="H305" s="69"/>
      <c r="AI305" s="7"/>
      <c r="AJ305" s="7"/>
      <c r="AK305" s="7"/>
      <c r="AL305" s="7"/>
      <c r="AM305" s="7"/>
      <c r="AN305" s="7"/>
      <c r="AO305" s="7"/>
      <c r="AP305" s="7"/>
      <c r="AQ305" s="7"/>
      <c r="AR305" s="7"/>
      <c r="AS305" s="7"/>
      <c r="AT305" s="7"/>
      <c r="AU305" s="7"/>
      <c r="AV305" s="69"/>
      <c r="BP305" s="18"/>
      <c r="BQ305" s="18"/>
      <c r="BR305" s="18"/>
      <c r="BS305" s="18"/>
      <c r="BT305" s="18"/>
      <c r="BU305" s="18"/>
      <c r="BV305" s="18"/>
      <c r="BW305" s="18"/>
      <c r="CV305" s="18"/>
      <c r="CW305" s="18"/>
      <c r="CX305" s="18"/>
      <c r="CY305" s="18"/>
      <c r="CZ305" s="18"/>
      <c r="DA305" s="18"/>
      <c r="DB305" s="18"/>
      <c r="DC305" s="18"/>
      <c r="DD305" s="18"/>
      <c r="DE305" s="18"/>
      <c r="DF305" s="18"/>
      <c r="DG305" s="18"/>
      <c r="DH305" s="18"/>
      <c r="DI305" s="18"/>
      <c r="DJ305" s="18"/>
      <c r="DK305" s="18"/>
      <c r="DL305" s="18"/>
      <c r="DM305" s="18"/>
    </row>
    <row r="306" spans="1:117" x14ac:dyDescent="0.3">
      <c r="A306" s="140"/>
      <c r="B306" s="18"/>
      <c r="C306" s="69"/>
      <c r="D306" s="69"/>
      <c r="E306" s="69"/>
      <c r="F306" s="69"/>
      <c r="G306" s="69"/>
      <c r="H306" s="69"/>
      <c r="AI306" s="7"/>
      <c r="AJ306" s="7"/>
      <c r="AK306" s="7"/>
      <c r="AL306" s="7"/>
      <c r="AM306" s="7"/>
      <c r="AN306" s="7"/>
      <c r="AO306" s="7"/>
      <c r="AP306" s="7"/>
      <c r="AQ306" s="7"/>
      <c r="AR306" s="7"/>
      <c r="AS306" s="7"/>
      <c r="AT306" s="7"/>
      <c r="AU306" s="7"/>
      <c r="AV306" s="69"/>
      <c r="BP306" s="18"/>
      <c r="BQ306" s="18"/>
      <c r="BR306" s="18"/>
      <c r="BS306" s="18"/>
      <c r="BT306" s="18"/>
      <c r="BU306" s="18"/>
      <c r="BV306" s="18"/>
      <c r="BW306" s="18"/>
      <c r="CV306" s="18"/>
      <c r="CW306" s="18"/>
      <c r="CX306" s="18"/>
      <c r="CY306" s="18"/>
      <c r="CZ306" s="18"/>
      <c r="DA306" s="18"/>
      <c r="DB306" s="18"/>
      <c r="DC306" s="18"/>
      <c r="DD306" s="18"/>
      <c r="DE306" s="18"/>
      <c r="DF306" s="18"/>
      <c r="DG306" s="18"/>
      <c r="DH306" s="18"/>
      <c r="DI306" s="18"/>
      <c r="DJ306" s="18"/>
      <c r="DK306" s="18"/>
      <c r="DL306" s="18"/>
      <c r="DM306" s="18"/>
    </row>
    <row r="307" spans="1:117" x14ac:dyDescent="0.3">
      <c r="A307" s="140"/>
      <c r="B307" s="18"/>
      <c r="C307" s="69"/>
      <c r="D307" s="69"/>
      <c r="E307" s="69"/>
      <c r="F307" s="69"/>
      <c r="G307" s="69"/>
      <c r="H307" s="69"/>
      <c r="AI307" s="7"/>
      <c r="AJ307" s="7"/>
      <c r="AK307" s="7"/>
      <c r="AL307" s="7"/>
      <c r="AM307" s="7"/>
      <c r="AN307" s="7"/>
      <c r="AO307" s="7"/>
      <c r="AP307" s="7"/>
      <c r="AQ307" s="7"/>
      <c r="AR307" s="7"/>
      <c r="AS307" s="7"/>
      <c r="AT307" s="7"/>
      <c r="AU307" s="7"/>
      <c r="AV307" s="69"/>
      <c r="BP307" s="18"/>
      <c r="BQ307" s="18"/>
      <c r="BR307" s="18"/>
      <c r="BS307" s="18"/>
      <c r="BT307" s="18"/>
      <c r="BU307" s="18"/>
      <c r="BV307" s="18"/>
      <c r="BW307" s="18"/>
      <c r="CV307" s="18"/>
      <c r="CW307" s="18"/>
      <c r="CX307" s="18"/>
      <c r="CY307" s="18"/>
      <c r="CZ307" s="18"/>
      <c r="DA307" s="18"/>
      <c r="DB307" s="18"/>
      <c r="DC307" s="18"/>
      <c r="DD307" s="18"/>
      <c r="DE307" s="18"/>
      <c r="DF307" s="18"/>
      <c r="DG307" s="18"/>
      <c r="DH307" s="18"/>
      <c r="DI307" s="18"/>
      <c r="DJ307" s="18"/>
      <c r="DK307" s="18"/>
      <c r="DL307" s="18"/>
      <c r="DM307" s="18"/>
    </row>
    <row r="308" spans="1:117" x14ac:dyDescent="0.3">
      <c r="A308" s="140"/>
      <c r="B308" s="18"/>
      <c r="C308" s="69"/>
      <c r="D308" s="69"/>
      <c r="E308" s="69"/>
      <c r="F308" s="69"/>
      <c r="G308" s="69"/>
      <c r="H308" s="69"/>
      <c r="AI308" s="7"/>
      <c r="AJ308" s="7"/>
      <c r="AK308" s="7"/>
      <c r="AL308" s="7"/>
      <c r="AM308" s="7"/>
      <c r="AN308" s="7"/>
      <c r="AO308" s="7"/>
      <c r="AP308" s="7"/>
      <c r="AQ308" s="7"/>
      <c r="AR308" s="7"/>
      <c r="AS308" s="7"/>
      <c r="AT308" s="7"/>
      <c r="AU308" s="7"/>
      <c r="AV308" s="69"/>
      <c r="BP308" s="18"/>
      <c r="BQ308" s="18"/>
      <c r="BR308" s="18"/>
      <c r="BS308" s="18"/>
      <c r="BT308" s="18"/>
      <c r="BU308" s="18"/>
      <c r="BV308" s="18"/>
      <c r="BW308" s="18"/>
      <c r="CV308" s="18"/>
      <c r="CW308" s="18"/>
      <c r="CX308" s="18"/>
      <c r="CY308" s="18"/>
      <c r="CZ308" s="18"/>
      <c r="DA308" s="18"/>
      <c r="DB308" s="18"/>
      <c r="DC308" s="18"/>
      <c r="DD308" s="18"/>
      <c r="DE308" s="18"/>
      <c r="DF308" s="18"/>
      <c r="DG308" s="18"/>
      <c r="DH308" s="18"/>
      <c r="DI308" s="18"/>
      <c r="DJ308" s="18"/>
      <c r="DK308" s="18"/>
      <c r="DL308" s="18"/>
      <c r="DM308" s="18"/>
    </row>
    <row r="309" spans="1:117" x14ac:dyDescent="0.3">
      <c r="A309" s="140"/>
      <c r="B309" s="18"/>
      <c r="C309" s="69"/>
      <c r="D309" s="69"/>
      <c r="E309" s="69"/>
      <c r="F309" s="69"/>
      <c r="G309" s="69"/>
      <c r="H309" s="69"/>
      <c r="AI309" s="7"/>
      <c r="AJ309" s="7"/>
      <c r="AK309" s="7"/>
      <c r="AL309" s="7"/>
      <c r="AM309" s="7"/>
      <c r="AN309" s="7"/>
      <c r="AO309" s="7"/>
      <c r="AP309" s="7"/>
      <c r="AQ309" s="7"/>
      <c r="AR309" s="7"/>
      <c r="AS309" s="7"/>
      <c r="AT309" s="7"/>
      <c r="AU309" s="7"/>
      <c r="AV309" s="69"/>
      <c r="BP309" s="18"/>
      <c r="BQ309" s="18"/>
      <c r="BR309" s="18"/>
      <c r="BS309" s="18"/>
      <c r="BT309" s="18"/>
      <c r="BU309" s="18"/>
      <c r="BV309" s="18"/>
      <c r="BW309" s="18"/>
      <c r="CV309" s="18"/>
      <c r="CW309" s="18"/>
      <c r="CX309" s="18"/>
      <c r="CY309" s="18"/>
      <c r="CZ309" s="18"/>
      <c r="DA309" s="18"/>
      <c r="DB309" s="18"/>
      <c r="DC309" s="18"/>
      <c r="DD309" s="18"/>
      <c r="DE309" s="18"/>
      <c r="DF309" s="18"/>
      <c r="DG309" s="18"/>
      <c r="DH309" s="18"/>
      <c r="DI309" s="18"/>
      <c r="DJ309" s="18"/>
      <c r="DK309" s="18"/>
      <c r="DL309" s="18"/>
      <c r="DM309" s="18"/>
    </row>
    <row r="310" spans="1:117" x14ac:dyDescent="0.3">
      <c r="A310" s="140"/>
      <c r="B310" s="18"/>
      <c r="C310" s="69"/>
      <c r="D310" s="69"/>
      <c r="E310" s="69"/>
      <c r="F310" s="69"/>
      <c r="G310" s="69"/>
      <c r="H310" s="69"/>
      <c r="AI310" s="7"/>
      <c r="AJ310" s="7"/>
      <c r="AK310" s="7"/>
      <c r="AL310" s="7"/>
      <c r="AM310" s="7"/>
      <c r="AN310" s="7"/>
      <c r="AO310" s="7"/>
      <c r="AP310" s="7"/>
      <c r="AQ310" s="7"/>
      <c r="AR310" s="7"/>
      <c r="AS310" s="7"/>
      <c r="AT310" s="7"/>
      <c r="AU310" s="7"/>
      <c r="AV310" s="69"/>
      <c r="BP310" s="18"/>
      <c r="BQ310" s="18"/>
      <c r="BR310" s="18"/>
      <c r="BS310" s="18"/>
      <c r="BT310" s="18"/>
      <c r="BU310" s="18"/>
      <c r="BV310" s="18"/>
      <c r="BW310" s="18"/>
      <c r="CV310" s="18"/>
      <c r="CW310" s="18"/>
      <c r="CX310" s="18"/>
      <c r="CY310" s="18"/>
      <c r="CZ310" s="18"/>
      <c r="DA310" s="18"/>
      <c r="DB310" s="18"/>
      <c r="DC310" s="18"/>
      <c r="DD310" s="18"/>
      <c r="DE310" s="18"/>
      <c r="DF310" s="18"/>
      <c r="DG310" s="18"/>
      <c r="DH310" s="18"/>
      <c r="DI310" s="18"/>
      <c r="DJ310" s="18"/>
      <c r="DK310" s="18"/>
      <c r="DL310" s="18"/>
      <c r="DM310" s="18"/>
    </row>
    <row r="311" spans="1:117" x14ac:dyDescent="0.3">
      <c r="A311" s="140"/>
      <c r="B311" s="18"/>
      <c r="C311" s="69"/>
      <c r="D311" s="69"/>
      <c r="E311" s="69"/>
      <c r="F311" s="69"/>
      <c r="G311" s="69"/>
      <c r="H311" s="69"/>
      <c r="AI311" s="7"/>
      <c r="AJ311" s="7"/>
      <c r="AK311" s="7"/>
      <c r="AL311" s="7"/>
      <c r="AM311" s="7"/>
      <c r="AN311" s="7"/>
      <c r="AO311" s="7"/>
      <c r="AP311" s="7"/>
      <c r="AQ311" s="7"/>
      <c r="AR311" s="7"/>
      <c r="AS311" s="7"/>
      <c r="AT311" s="7"/>
      <c r="AU311" s="7"/>
      <c r="AV311" s="69"/>
      <c r="BP311" s="18"/>
      <c r="BQ311" s="18"/>
      <c r="BR311" s="18"/>
      <c r="BS311" s="18"/>
      <c r="BT311" s="18"/>
      <c r="BU311" s="18"/>
      <c r="BV311" s="18"/>
      <c r="BW311" s="18"/>
      <c r="CV311" s="18"/>
      <c r="CW311" s="18"/>
      <c r="CX311" s="18"/>
      <c r="CY311" s="18"/>
      <c r="CZ311" s="18"/>
      <c r="DA311" s="18"/>
      <c r="DB311" s="18"/>
      <c r="DC311" s="18"/>
      <c r="DD311" s="18"/>
      <c r="DE311" s="18"/>
      <c r="DF311" s="18"/>
      <c r="DG311" s="18"/>
      <c r="DH311" s="18"/>
      <c r="DI311" s="18"/>
      <c r="DJ311" s="18"/>
      <c r="DK311" s="18"/>
      <c r="DL311" s="18"/>
      <c r="DM311" s="18"/>
    </row>
    <row r="312" spans="1:117" x14ac:dyDescent="0.3">
      <c r="A312" s="140"/>
      <c r="B312" s="18"/>
      <c r="C312" s="69"/>
      <c r="D312" s="69"/>
      <c r="E312" s="69"/>
      <c r="F312" s="69"/>
      <c r="G312" s="69"/>
      <c r="H312" s="69"/>
      <c r="AI312" s="7"/>
      <c r="AJ312" s="7"/>
      <c r="AK312" s="7"/>
      <c r="AL312" s="7"/>
      <c r="AM312" s="7"/>
      <c r="AN312" s="7"/>
      <c r="AO312" s="7"/>
      <c r="AP312" s="7"/>
      <c r="AQ312" s="7"/>
      <c r="AR312" s="7"/>
      <c r="AS312" s="7"/>
      <c r="AT312" s="7"/>
      <c r="AU312" s="7"/>
      <c r="AV312" s="69"/>
      <c r="BP312" s="18"/>
      <c r="BQ312" s="18"/>
      <c r="BR312" s="18"/>
      <c r="BS312" s="18"/>
      <c r="BT312" s="18"/>
      <c r="BU312" s="18"/>
      <c r="BV312" s="18"/>
      <c r="BW312" s="18"/>
      <c r="CV312" s="18"/>
      <c r="CW312" s="18"/>
      <c r="CX312" s="18"/>
      <c r="CY312" s="18"/>
      <c r="CZ312" s="18"/>
      <c r="DA312" s="18"/>
      <c r="DB312" s="18"/>
      <c r="DC312" s="18"/>
      <c r="DD312" s="18"/>
      <c r="DE312" s="18"/>
      <c r="DF312" s="18"/>
      <c r="DG312" s="18"/>
      <c r="DH312" s="18"/>
      <c r="DI312" s="18"/>
      <c r="DJ312" s="18"/>
      <c r="DK312" s="18"/>
      <c r="DL312" s="18"/>
      <c r="DM312" s="18"/>
    </row>
    <row r="313" spans="1:117" x14ac:dyDescent="0.3">
      <c r="A313" s="140"/>
      <c r="B313" s="18"/>
      <c r="C313" s="69"/>
      <c r="D313" s="69"/>
      <c r="E313" s="69"/>
      <c r="F313" s="69"/>
      <c r="G313" s="69"/>
      <c r="H313" s="69"/>
      <c r="AI313" s="7"/>
      <c r="AJ313" s="7"/>
      <c r="AK313" s="7"/>
      <c r="AL313" s="7"/>
      <c r="AM313" s="7"/>
      <c r="AN313" s="7"/>
      <c r="AO313" s="7"/>
      <c r="AP313" s="7"/>
      <c r="AQ313" s="7"/>
      <c r="AR313" s="7"/>
      <c r="AS313" s="7"/>
      <c r="AT313" s="7"/>
      <c r="AU313" s="7"/>
      <c r="AV313" s="69"/>
      <c r="BP313" s="18"/>
      <c r="BQ313" s="18"/>
      <c r="BR313" s="18"/>
      <c r="BS313" s="18"/>
      <c r="BT313" s="18"/>
      <c r="BU313" s="18"/>
      <c r="BV313" s="18"/>
      <c r="BW313" s="18"/>
      <c r="CV313" s="18"/>
      <c r="CW313" s="18"/>
      <c r="CX313" s="18"/>
      <c r="CY313" s="18"/>
      <c r="CZ313" s="18"/>
      <c r="DA313" s="18"/>
      <c r="DB313" s="18"/>
      <c r="DC313" s="18"/>
      <c r="DD313" s="18"/>
      <c r="DE313" s="18"/>
      <c r="DF313" s="18"/>
      <c r="DG313" s="18"/>
      <c r="DH313" s="18"/>
      <c r="DI313" s="18"/>
      <c r="DJ313" s="18"/>
      <c r="DK313" s="18"/>
      <c r="DL313" s="18"/>
      <c r="DM313" s="18"/>
    </row>
    <row r="314" spans="1:117" x14ac:dyDescent="0.3">
      <c r="A314" s="140"/>
      <c r="B314" s="18"/>
      <c r="C314" s="69"/>
      <c r="D314" s="69"/>
      <c r="E314" s="69"/>
      <c r="F314" s="69"/>
      <c r="G314" s="69"/>
      <c r="H314" s="69"/>
      <c r="AI314" s="7"/>
      <c r="AJ314" s="7"/>
      <c r="AK314" s="7"/>
      <c r="AL314" s="7"/>
      <c r="AM314" s="7"/>
      <c r="AN314" s="7"/>
      <c r="AO314" s="7"/>
      <c r="AP314" s="7"/>
      <c r="AQ314" s="7"/>
      <c r="AR314" s="7"/>
      <c r="AS314" s="7"/>
      <c r="AT314" s="7"/>
      <c r="AU314" s="7"/>
      <c r="AV314" s="69"/>
      <c r="BP314" s="18"/>
      <c r="BQ314" s="18"/>
      <c r="BR314" s="18"/>
      <c r="BS314" s="18"/>
      <c r="BT314" s="18"/>
      <c r="BU314" s="18"/>
      <c r="BV314" s="18"/>
      <c r="BW314" s="18"/>
      <c r="CV314" s="18"/>
      <c r="CW314" s="18"/>
      <c r="CX314" s="18"/>
      <c r="CY314" s="18"/>
      <c r="CZ314" s="18"/>
      <c r="DA314" s="18"/>
      <c r="DB314" s="18"/>
      <c r="DC314" s="18"/>
      <c r="DD314" s="18"/>
      <c r="DE314" s="18"/>
      <c r="DF314" s="18"/>
      <c r="DG314" s="18"/>
      <c r="DH314" s="18"/>
      <c r="DI314" s="18"/>
      <c r="DJ314" s="18"/>
      <c r="DK314" s="18"/>
      <c r="DL314" s="18"/>
      <c r="DM314" s="18"/>
    </row>
    <row r="315" spans="1:117" x14ac:dyDescent="0.3">
      <c r="A315" s="140"/>
      <c r="B315" s="18"/>
      <c r="C315" s="69"/>
      <c r="D315" s="69"/>
      <c r="E315" s="69"/>
      <c r="F315" s="69"/>
      <c r="G315" s="69"/>
      <c r="H315" s="69"/>
      <c r="AI315" s="7"/>
      <c r="AJ315" s="7"/>
      <c r="AK315" s="7"/>
      <c r="AL315" s="7"/>
      <c r="AM315" s="7"/>
      <c r="AN315" s="7"/>
      <c r="AO315" s="7"/>
      <c r="AP315" s="7"/>
      <c r="AQ315" s="7"/>
      <c r="AR315" s="7"/>
      <c r="AS315" s="7"/>
      <c r="AT315" s="7"/>
      <c r="AU315" s="7"/>
      <c r="AV315" s="69"/>
      <c r="BP315" s="18"/>
      <c r="BQ315" s="18"/>
      <c r="BR315" s="18"/>
      <c r="BS315" s="18"/>
      <c r="BT315" s="18"/>
      <c r="BU315" s="18"/>
      <c r="BV315" s="18"/>
      <c r="BW315" s="18"/>
      <c r="CV315" s="18"/>
      <c r="CW315" s="18"/>
      <c r="CX315" s="18"/>
      <c r="CY315" s="18"/>
      <c r="CZ315" s="18"/>
      <c r="DA315" s="18"/>
      <c r="DB315" s="18"/>
      <c r="DC315" s="18"/>
      <c r="DD315" s="18"/>
      <c r="DE315" s="18"/>
      <c r="DF315" s="18"/>
      <c r="DG315" s="18"/>
      <c r="DH315" s="18"/>
      <c r="DI315" s="18"/>
      <c r="DJ315" s="18"/>
      <c r="DK315" s="18"/>
      <c r="DL315" s="18"/>
      <c r="DM315" s="18"/>
    </row>
    <row r="316" spans="1:117" x14ac:dyDescent="0.3">
      <c r="A316" s="140"/>
      <c r="B316" s="18"/>
      <c r="C316" s="69"/>
      <c r="D316" s="69"/>
      <c r="E316" s="69"/>
      <c r="F316" s="69"/>
      <c r="G316" s="69"/>
      <c r="H316" s="69"/>
      <c r="AI316" s="7"/>
      <c r="AJ316" s="7"/>
      <c r="AK316" s="7"/>
      <c r="AL316" s="7"/>
      <c r="AM316" s="7"/>
      <c r="AN316" s="7"/>
      <c r="AO316" s="7"/>
      <c r="AP316" s="7"/>
      <c r="AQ316" s="7"/>
      <c r="AR316" s="7"/>
      <c r="AS316" s="7"/>
      <c r="AT316" s="7"/>
      <c r="AU316" s="7"/>
      <c r="AV316" s="69"/>
      <c r="BP316" s="18"/>
      <c r="BQ316" s="18"/>
      <c r="BR316" s="18"/>
      <c r="BS316" s="18"/>
      <c r="BT316" s="18"/>
      <c r="BU316" s="18"/>
      <c r="BV316" s="18"/>
      <c r="BW316" s="18"/>
      <c r="CV316" s="18"/>
      <c r="CW316" s="18"/>
      <c r="CX316" s="18"/>
      <c r="CY316" s="18"/>
      <c r="CZ316" s="18"/>
      <c r="DA316" s="18"/>
      <c r="DB316" s="18"/>
      <c r="DC316" s="18"/>
      <c r="DD316" s="18"/>
      <c r="DE316" s="18"/>
      <c r="DF316" s="18"/>
      <c r="DG316" s="18"/>
      <c r="DH316" s="18"/>
      <c r="DI316" s="18"/>
      <c r="DJ316" s="18"/>
      <c r="DK316" s="18"/>
      <c r="DL316" s="18"/>
      <c r="DM316" s="18"/>
    </row>
    <row r="317" spans="1:117" x14ac:dyDescent="0.3">
      <c r="A317" s="140"/>
      <c r="B317" s="18"/>
      <c r="C317" s="69"/>
      <c r="D317" s="69"/>
      <c r="E317" s="69"/>
      <c r="F317" s="69"/>
      <c r="G317" s="69"/>
      <c r="H317" s="69"/>
      <c r="AI317" s="7"/>
      <c r="AJ317" s="7"/>
      <c r="AK317" s="7"/>
      <c r="AL317" s="7"/>
      <c r="AM317" s="7"/>
      <c r="AN317" s="7"/>
      <c r="AO317" s="7"/>
      <c r="AP317" s="7"/>
      <c r="AQ317" s="7"/>
      <c r="AR317" s="7"/>
      <c r="AS317" s="7"/>
      <c r="AT317" s="7"/>
      <c r="AU317" s="7"/>
      <c r="AV317" s="69"/>
      <c r="BP317" s="18"/>
      <c r="BQ317" s="18"/>
      <c r="BR317" s="18"/>
      <c r="BS317" s="18"/>
      <c r="BT317" s="18"/>
      <c r="BU317" s="18"/>
      <c r="BV317" s="18"/>
      <c r="BW317" s="18"/>
      <c r="CV317" s="18"/>
      <c r="CW317" s="18"/>
      <c r="CX317" s="18"/>
      <c r="CY317" s="18"/>
      <c r="CZ317" s="18"/>
      <c r="DA317" s="18"/>
      <c r="DB317" s="18"/>
      <c r="DC317" s="18"/>
      <c r="DD317" s="18"/>
      <c r="DE317" s="18"/>
      <c r="DF317" s="18"/>
      <c r="DG317" s="18"/>
      <c r="DH317" s="18"/>
      <c r="DI317" s="18"/>
      <c r="DJ317" s="18"/>
      <c r="DK317" s="18"/>
      <c r="DL317" s="18"/>
      <c r="DM317" s="18"/>
    </row>
    <row r="318" spans="1:117" x14ac:dyDescent="0.3">
      <c r="A318" s="140"/>
      <c r="B318" s="18"/>
      <c r="C318" s="69"/>
      <c r="D318" s="69"/>
      <c r="E318" s="69"/>
      <c r="F318" s="69"/>
      <c r="G318" s="69"/>
      <c r="H318" s="69"/>
      <c r="AI318" s="7"/>
      <c r="AJ318" s="7"/>
      <c r="AK318" s="7"/>
      <c r="AL318" s="7"/>
      <c r="AM318" s="7"/>
      <c r="AN318" s="7"/>
      <c r="AO318" s="7"/>
      <c r="AP318" s="7"/>
      <c r="AQ318" s="7"/>
      <c r="AR318" s="7"/>
      <c r="AS318" s="7"/>
      <c r="AT318" s="7"/>
      <c r="AU318" s="7"/>
      <c r="AV318" s="69"/>
      <c r="BP318" s="18"/>
      <c r="BQ318" s="18"/>
      <c r="BR318" s="18"/>
      <c r="BS318" s="18"/>
      <c r="BT318" s="18"/>
      <c r="BU318" s="18"/>
      <c r="BV318" s="18"/>
      <c r="BW318" s="18"/>
      <c r="CV318" s="18"/>
      <c r="CW318" s="18"/>
      <c r="CX318" s="18"/>
      <c r="CY318" s="18"/>
      <c r="CZ318" s="18"/>
      <c r="DA318" s="18"/>
      <c r="DB318" s="18"/>
      <c r="DC318" s="18"/>
      <c r="DD318" s="18"/>
      <c r="DE318" s="18"/>
      <c r="DF318" s="18"/>
      <c r="DG318" s="18"/>
      <c r="DH318" s="18"/>
      <c r="DI318" s="18"/>
      <c r="DJ318" s="18"/>
      <c r="DK318" s="18"/>
      <c r="DL318" s="18"/>
      <c r="DM318" s="18"/>
    </row>
    <row r="319" spans="1:117" x14ac:dyDescent="0.3">
      <c r="A319" s="140"/>
      <c r="B319" s="18"/>
      <c r="C319" s="69"/>
      <c r="D319" s="69"/>
      <c r="E319" s="69"/>
      <c r="F319" s="69"/>
      <c r="G319" s="69"/>
      <c r="H319" s="69"/>
      <c r="AI319" s="7"/>
      <c r="AJ319" s="7"/>
      <c r="AK319" s="7"/>
      <c r="AL319" s="7"/>
      <c r="AM319" s="7"/>
      <c r="AN319" s="7"/>
      <c r="AO319" s="7"/>
      <c r="AP319" s="7"/>
      <c r="AQ319" s="7"/>
      <c r="AR319" s="7"/>
      <c r="AS319" s="7"/>
      <c r="AT319" s="7"/>
      <c r="AU319" s="7"/>
      <c r="AV319" s="69"/>
      <c r="BP319" s="18"/>
      <c r="BQ319" s="18"/>
      <c r="BR319" s="18"/>
      <c r="BS319" s="18"/>
      <c r="BT319" s="18"/>
      <c r="BU319" s="18"/>
      <c r="BV319" s="18"/>
      <c r="BW319" s="18"/>
      <c r="CV319" s="18"/>
      <c r="CW319" s="18"/>
      <c r="CX319" s="18"/>
      <c r="CY319" s="18"/>
      <c r="CZ319" s="18"/>
      <c r="DA319" s="18"/>
      <c r="DB319" s="18"/>
      <c r="DC319" s="18"/>
      <c r="DD319" s="18"/>
      <c r="DE319" s="18"/>
      <c r="DF319" s="18"/>
      <c r="DG319" s="18"/>
      <c r="DH319" s="18"/>
      <c r="DI319" s="18"/>
      <c r="DJ319" s="18"/>
      <c r="DK319" s="18"/>
      <c r="DL319" s="18"/>
      <c r="DM319" s="18"/>
    </row>
    <row r="320" spans="1:117" x14ac:dyDescent="0.3">
      <c r="A320" s="140"/>
      <c r="B320" s="18"/>
      <c r="C320" s="69"/>
      <c r="D320" s="69"/>
      <c r="E320" s="69"/>
      <c r="F320" s="69"/>
      <c r="G320" s="69"/>
      <c r="H320" s="69"/>
      <c r="AI320" s="7"/>
      <c r="AJ320" s="7"/>
      <c r="AK320" s="7"/>
      <c r="AL320" s="7"/>
      <c r="AM320" s="7"/>
      <c r="AN320" s="7"/>
      <c r="AO320" s="7"/>
      <c r="AP320" s="7"/>
      <c r="AQ320" s="7"/>
      <c r="AR320" s="7"/>
      <c r="AS320" s="7"/>
      <c r="AT320" s="7"/>
      <c r="AU320" s="7"/>
      <c r="AV320" s="69"/>
      <c r="BP320" s="18"/>
      <c r="BQ320" s="18"/>
      <c r="BR320" s="18"/>
      <c r="BS320" s="18"/>
      <c r="BT320" s="18"/>
      <c r="BU320" s="18"/>
      <c r="BV320" s="18"/>
      <c r="BW320" s="18"/>
      <c r="CV320" s="18"/>
      <c r="CW320" s="18"/>
      <c r="CX320" s="18"/>
      <c r="CY320" s="18"/>
      <c r="CZ320" s="18"/>
      <c r="DA320" s="18"/>
      <c r="DB320" s="18"/>
      <c r="DC320" s="18"/>
      <c r="DD320" s="18"/>
      <c r="DE320" s="18"/>
      <c r="DF320" s="18"/>
      <c r="DG320" s="18"/>
      <c r="DH320" s="18"/>
      <c r="DI320" s="18"/>
      <c r="DJ320" s="18"/>
      <c r="DK320" s="18"/>
      <c r="DL320" s="18"/>
      <c r="DM320" s="18"/>
    </row>
    <row r="321" spans="1:117" x14ac:dyDescent="0.3">
      <c r="A321" s="140"/>
      <c r="B321" s="18"/>
      <c r="C321" s="69"/>
      <c r="D321" s="69"/>
      <c r="E321" s="69"/>
      <c r="F321" s="69"/>
      <c r="G321" s="69"/>
      <c r="H321" s="69"/>
      <c r="AI321" s="7"/>
      <c r="AJ321" s="7"/>
      <c r="AK321" s="7"/>
      <c r="AL321" s="7"/>
      <c r="AM321" s="7"/>
      <c r="AN321" s="7"/>
      <c r="AO321" s="7"/>
      <c r="AP321" s="7"/>
      <c r="AQ321" s="7"/>
      <c r="AR321" s="7"/>
      <c r="AS321" s="7"/>
      <c r="AT321" s="7"/>
      <c r="AU321" s="7"/>
      <c r="AV321" s="69"/>
      <c r="BP321" s="18"/>
      <c r="BQ321" s="18"/>
      <c r="BR321" s="18"/>
      <c r="BS321" s="18"/>
      <c r="BT321" s="18"/>
      <c r="BU321" s="18"/>
      <c r="BV321" s="18"/>
      <c r="BW321" s="18"/>
      <c r="CV321" s="18"/>
      <c r="CW321" s="18"/>
      <c r="CX321" s="18"/>
      <c r="CY321" s="18"/>
      <c r="CZ321" s="18"/>
      <c r="DA321" s="18"/>
      <c r="DB321" s="18"/>
      <c r="DC321" s="18"/>
      <c r="DD321" s="18"/>
      <c r="DE321" s="18"/>
      <c r="DF321" s="18"/>
      <c r="DG321" s="18"/>
      <c r="DH321" s="18"/>
      <c r="DI321" s="18"/>
      <c r="DJ321" s="18"/>
      <c r="DK321" s="18"/>
      <c r="DL321" s="18"/>
      <c r="DM321" s="18"/>
    </row>
    <row r="322" spans="1:117" x14ac:dyDescent="0.3">
      <c r="A322" s="140"/>
      <c r="B322" s="18"/>
      <c r="C322" s="69"/>
      <c r="D322" s="69"/>
      <c r="E322" s="69"/>
      <c r="F322" s="69"/>
      <c r="G322" s="69"/>
      <c r="H322" s="69"/>
      <c r="AI322" s="7"/>
      <c r="AJ322" s="7"/>
      <c r="AK322" s="7"/>
      <c r="AL322" s="7"/>
      <c r="AM322" s="7"/>
      <c r="AN322" s="7"/>
      <c r="AO322" s="7"/>
      <c r="AP322" s="7"/>
      <c r="AQ322" s="7"/>
      <c r="AR322" s="7"/>
      <c r="AS322" s="7"/>
      <c r="AT322" s="7"/>
      <c r="AU322" s="7"/>
      <c r="AV322" s="69"/>
      <c r="BP322" s="18"/>
      <c r="BQ322" s="18"/>
      <c r="BR322" s="18"/>
      <c r="BS322" s="18"/>
      <c r="BT322" s="18"/>
      <c r="BU322" s="18"/>
      <c r="BV322" s="18"/>
      <c r="BW322" s="18"/>
      <c r="CV322" s="18"/>
      <c r="CW322" s="18"/>
      <c r="CX322" s="18"/>
      <c r="CY322" s="18"/>
      <c r="CZ322" s="18"/>
      <c r="DA322" s="18"/>
      <c r="DB322" s="18"/>
      <c r="DC322" s="18"/>
      <c r="DD322" s="18"/>
      <c r="DE322" s="18"/>
      <c r="DF322" s="18"/>
      <c r="DG322" s="18"/>
      <c r="DH322" s="18"/>
      <c r="DI322" s="18"/>
      <c r="DJ322" s="18"/>
      <c r="DK322" s="18"/>
      <c r="DL322" s="18"/>
      <c r="DM322" s="18"/>
    </row>
    <row r="323" spans="1:117" x14ac:dyDescent="0.3">
      <c r="A323" s="140"/>
      <c r="B323" s="18"/>
      <c r="C323" s="69"/>
      <c r="D323" s="69"/>
      <c r="E323" s="69"/>
      <c r="F323" s="69"/>
      <c r="G323" s="69"/>
      <c r="H323" s="69"/>
      <c r="AI323" s="7"/>
      <c r="AJ323" s="7"/>
      <c r="AK323" s="7"/>
      <c r="AL323" s="7"/>
      <c r="AM323" s="7"/>
      <c r="AN323" s="7"/>
      <c r="AO323" s="7"/>
      <c r="AP323" s="7"/>
      <c r="AQ323" s="7"/>
      <c r="AR323" s="7"/>
      <c r="AS323" s="7"/>
      <c r="AT323" s="7"/>
      <c r="AU323" s="7"/>
      <c r="AV323" s="69"/>
      <c r="BP323" s="18"/>
      <c r="BQ323" s="18"/>
      <c r="BR323" s="18"/>
      <c r="BS323" s="18"/>
      <c r="BT323" s="18"/>
      <c r="BU323" s="18"/>
      <c r="BV323" s="18"/>
      <c r="BW323" s="18"/>
      <c r="CV323" s="18"/>
      <c r="CW323" s="18"/>
      <c r="CX323" s="18"/>
      <c r="CY323" s="18"/>
      <c r="CZ323" s="18"/>
      <c r="DA323" s="18"/>
      <c r="DB323" s="18"/>
      <c r="DC323" s="18"/>
      <c r="DD323" s="18"/>
      <c r="DE323" s="18"/>
      <c r="DF323" s="18"/>
      <c r="DG323" s="18"/>
      <c r="DH323" s="18"/>
      <c r="DI323" s="18"/>
      <c r="DJ323" s="18"/>
      <c r="DK323" s="18"/>
      <c r="DL323" s="18"/>
      <c r="DM323" s="18"/>
    </row>
    <row r="324" spans="1:117" x14ac:dyDescent="0.3">
      <c r="A324" s="140"/>
      <c r="B324" s="18"/>
      <c r="C324" s="69"/>
      <c r="D324" s="69"/>
      <c r="E324" s="69"/>
      <c r="F324" s="69"/>
      <c r="G324" s="69"/>
      <c r="H324" s="69"/>
      <c r="AI324" s="7"/>
      <c r="AJ324" s="7"/>
      <c r="AK324" s="7"/>
      <c r="AL324" s="7"/>
      <c r="AM324" s="7"/>
      <c r="AN324" s="7"/>
      <c r="AO324" s="7"/>
      <c r="AP324" s="7"/>
      <c r="AQ324" s="7"/>
      <c r="AR324" s="7"/>
      <c r="AS324" s="7"/>
      <c r="AT324" s="7"/>
      <c r="AU324" s="7"/>
      <c r="AV324" s="69"/>
      <c r="BP324" s="18"/>
      <c r="BQ324" s="18"/>
      <c r="BR324" s="18"/>
      <c r="BS324" s="18"/>
      <c r="BT324" s="18"/>
      <c r="BU324" s="18"/>
      <c r="BV324" s="18"/>
      <c r="BW324" s="18"/>
      <c r="CV324" s="18"/>
      <c r="CW324" s="18"/>
      <c r="CX324" s="18"/>
      <c r="CY324" s="18"/>
      <c r="CZ324" s="18"/>
      <c r="DA324" s="18"/>
      <c r="DB324" s="18"/>
      <c r="DC324" s="18"/>
      <c r="DD324" s="18"/>
      <c r="DE324" s="18"/>
      <c r="DF324" s="18"/>
      <c r="DG324" s="18"/>
      <c r="DH324" s="18"/>
      <c r="DI324" s="18"/>
      <c r="DJ324" s="18"/>
      <c r="DK324" s="18"/>
      <c r="DL324" s="18"/>
      <c r="DM324" s="18"/>
    </row>
    <row r="325" spans="1:117" x14ac:dyDescent="0.3">
      <c r="A325" s="140"/>
      <c r="B325" s="18"/>
      <c r="C325" s="69"/>
      <c r="D325" s="69"/>
      <c r="E325" s="69"/>
      <c r="F325" s="69"/>
      <c r="G325" s="69"/>
      <c r="H325" s="69"/>
      <c r="AI325" s="7"/>
      <c r="AJ325" s="7"/>
      <c r="AK325" s="7"/>
      <c r="AL325" s="7"/>
      <c r="AM325" s="7"/>
      <c r="AN325" s="7"/>
      <c r="AO325" s="7"/>
      <c r="AP325" s="7"/>
      <c r="AQ325" s="7"/>
      <c r="AR325" s="7"/>
      <c r="AS325" s="7"/>
      <c r="AT325" s="7"/>
      <c r="AU325" s="7"/>
      <c r="AV325" s="69"/>
      <c r="BP325" s="18"/>
      <c r="BQ325" s="18"/>
      <c r="BR325" s="18"/>
      <c r="BS325" s="18"/>
      <c r="BT325" s="18"/>
      <c r="BU325" s="18"/>
      <c r="BV325" s="18"/>
      <c r="BW325" s="18"/>
      <c r="CV325" s="18"/>
      <c r="CW325" s="18"/>
      <c r="CX325" s="18"/>
      <c r="CY325" s="18"/>
      <c r="CZ325" s="18"/>
      <c r="DA325" s="18"/>
      <c r="DB325" s="18"/>
      <c r="DC325" s="18"/>
      <c r="DD325" s="18"/>
      <c r="DE325" s="18"/>
      <c r="DF325" s="18"/>
      <c r="DG325" s="18"/>
      <c r="DH325" s="18"/>
      <c r="DI325" s="18"/>
      <c r="DJ325" s="18"/>
      <c r="DK325" s="18"/>
      <c r="DL325" s="18"/>
      <c r="DM325" s="18"/>
    </row>
    <row r="326" spans="1:117" x14ac:dyDescent="0.3">
      <c r="A326" s="140"/>
      <c r="B326" s="18"/>
      <c r="C326" s="69"/>
      <c r="D326" s="69"/>
      <c r="E326" s="69"/>
      <c r="F326" s="69"/>
      <c r="G326" s="69"/>
      <c r="H326" s="69"/>
      <c r="AI326" s="7"/>
      <c r="AJ326" s="7"/>
      <c r="AK326" s="7"/>
      <c r="AL326" s="7"/>
      <c r="AM326" s="7"/>
      <c r="AN326" s="7"/>
      <c r="AO326" s="7"/>
      <c r="AP326" s="7"/>
      <c r="AQ326" s="7"/>
      <c r="AR326" s="7"/>
      <c r="AS326" s="7"/>
      <c r="AT326" s="7"/>
      <c r="AU326" s="7"/>
      <c r="AV326" s="69"/>
      <c r="BP326" s="18"/>
      <c r="BQ326" s="18"/>
      <c r="BR326" s="18"/>
      <c r="BS326" s="18"/>
      <c r="BT326" s="18"/>
      <c r="BU326" s="18"/>
      <c r="BV326" s="18"/>
      <c r="BW326" s="18"/>
      <c r="CV326" s="18"/>
      <c r="CW326" s="18"/>
      <c r="CX326" s="18"/>
      <c r="CY326" s="18"/>
      <c r="CZ326" s="18"/>
      <c r="DA326" s="18"/>
      <c r="DB326" s="18"/>
      <c r="DC326" s="18"/>
      <c r="DD326" s="18"/>
      <c r="DE326" s="18"/>
      <c r="DF326" s="18"/>
      <c r="DG326" s="18"/>
      <c r="DH326" s="18"/>
      <c r="DI326" s="18"/>
      <c r="DJ326" s="18"/>
      <c r="DK326" s="18"/>
      <c r="DL326" s="18"/>
      <c r="DM326" s="18"/>
    </row>
    <row r="327" spans="1:117" x14ac:dyDescent="0.3">
      <c r="A327" s="140"/>
      <c r="B327" s="18"/>
      <c r="C327" s="69"/>
      <c r="D327" s="69"/>
      <c r="E327" s="69"/>
      <c r="F327" s="69"/>
      <c r="G327" s="69"/>
      <c r="H327" s="69"/>
      <c r="AI327" s="7"/>
      <c r="AJ327" s="7"/>
      <c r="AK327" s="7"/>
      <c r="AL327" s="7"/>
      <c r="AM327" s="7"/>
      <c r="AN327" s="7"/>
      <c r="AO327" s="7"/>
      <c r="AP327" s="7"/>
      <c r="AQ327" s="7"/>
      <c r="AR327" s="7"/>
      <c r="AS327" s="7"/>
      <c r="AT327" s="7"/>
      <c r="AU327" s="7"/>
      <c r="AV327" s="69"/>
      <c r="BP327" s="18"/>
      <c r="BQ327" s="18"/>
      <c r="BR327" s="18"/>
      <c r="BS327" s="18"/>
      <c r="BT327" s="18"/>
      <c r="BU327" s="18"/>
      <c r="BV327" s="18"/>
      <c r="BW327" s="18"/>
      <c r="CV327" s="18"/>
      <c r="CW327" s="18"/>
      <c r="CX327" s="18"/>
      <c r="CY327" s="18"/>
      <c r="CZ327" s="18"/>
      <c r="DA327" s="18"/>
      <c r="DB327" s="18"/>
      <c r="DC327" s="18"/>
      <c r="DD327" s="18"/>
      <c r="DE327" s="18"/>
      <c r="DF327" s="18"/>
      <c r="DG327" s="18"/>
      <c r="DH327" s="18"/>
      <c r="DI327" s="18"/>
      <c r="DJ327" s="18"/>
      <c r="DK327" s="18"/>
      <c r="DL327" s="18"/>
      <c r="DM327" s="18"/>
    </row>
    <row r="328" spans="1:117" x14ac:dyDescent="0.3">
      <c r="A328" s="140"/>
      <c r="B328" s="18"/>
      <c r="C328" s="69"/>
      <c r="D328" s="69"/>
      <c r="E328" s="69"/>
      <c r="F328" s="69"/>
      <c r="G328" s="69"/>
      <c r="H328" s="69"/>
      <c r="AI328" s="7"/>
      <c r="AJ328" s="7"/>
      <c r="AK328" s="7"/>
      <c r="AL328" s="7"/>
      <c r="AM328" s="7"/>
      <c r="AN328" s="7"/>
      <c r="AO328" s="7"/>
      <c r="AP328" s="7"/>
      <c r="AQ328" s="7"/>
      <c r="AR328" s="7"/>
      <c r="AS328" s="7"/>
      <c r="AT328" s="7"/>
      <c r="AU328" s="7"/>
      <c r="AV328" s="69"/>
      <c r="BP328" s="18"/>
      <c r="BQ328" s="18"/>
      <c r="BR328" s="18"/>
      <c r="BS328" s="18"/>
      <c r="BT328" s="18"/>
      <c r="BU328" s="18"/>
      <c r="BV328" s="18"/>
      <c r="BW328" s="18"/>
      <c r="CV328" s="18"/>
      <c r="CW328" s="18"/>
      <c r="CX328" s="18"/>
      <c r="CY328" s="18"/>
      <c r="CZ328" s="18"/>
      <c r="DA328" s="18"/>
      <c r="DB328" s="18"/>
      <c r="DC328" s="18"/>
      <c r="DD328" s="18"/>
      <c r="DE328" s="18"/>
      <c r="DF328" s="18"/>
      <c r="DG328" s="18"/>
      <c r="DH328" s="18"/>
      <c r="DI328" s="18"/>
      <c r="DJ328" s="18"/>
      <c r="DK328" s="18"/>
      <c r="DL328" s="18"/>
      <c r="DM328" s="18"/>
    </row>
    <row r="329" spans="1:117" x14ac:dyDescent="0.3">
      <c r="A329" s="140"/>
      <c r="B329" s="18"/>
      <c r="C329" s="69"/>
      <c r="D329" s="69"/>
      <c r="E329" s="69"/>
      <c r="F329" s="69"/>
      <c r="G329" s="69"/>
      <c r="H329" s="69"/>
      <c r="AI329" s="7"/>
      <c r="AJ329" s="7"/>
      <c r="AK329" s="7"/>
      <c r="AL329" s="7"/>
      <c r="AM329" s="7"/>
      <c r="AN329" s="7"/>
      <c r="AO329" s="7"/>
      <c r="AP329" s="7"/>
      <c r="AQ329" s="7"/>
      <c r="AR329" s="7"/>
      <c r="AS329" s="7"/>
      <c r="AT329" s="7"/>
      <c r="AU329" s="7"/>
      <c r="AV329" s="69"/>
      <c r="BP329" s="18"/>
      <c r="BQ329" s="18"/>
      <c r="BR329" s="18"/>
      <c r="BS329" s="18"/>
      <c r="BT329" s="18"/>
      <c r="BU329" s="18"/>
      <c r="BV329" s="18"/>
      <c r="BW329" s="18"/>
      <c r="CV329" s="18"/>
      <c r="CW329" s="18"/>
      <c r="CX329" s="18"/>
      <c r="CY329" s="18"/>
      <c r="CZ329" s="18"/>
      <c r="DA329" s="18"/>
      <c r="DB329" s="18"/>
      <c r="DC329" s="18"/>
      <c r="DD329" s="18"/>
      <c r="DE329" s="18"/>
      <c r="DF329" s="18"/>
      <c r="DG329" s="18"/>
      <c r="DH329" s="18"/>
      <c r="DI329" s="18"/>
      <c r="DJ329" s="18"/>
      <c r="DK329" s="18"/>
      <c r="DL329" s="18"/>
      <c r="DM329" s="18"/>
    </row>
    <row r="330" spans="1:117" x14ac:dyDescent="0.3">
      <c r="A330" s="140"/>
      <c r="B330" s="18"/>
      <c r="C330" s="69"/>
      <c r="D330" s="69"/>
      <c r="E330" s="69"/>
      <c r="F330" s="69"/>
      <c r="G330" s="69"/>
      <c r="H330" s="69"/>
      <c r="AI330" s="7"/>
      <c r="AJ330" s="7"/>
      <c r="AK330" s="7"/>
      <c r="AL330" s="7"/>
      <c r="AM330" s="7"/>
      <c r="AN330" s="7"/>
      <c r="AO330" s="7"/>
      <c r="AP330" s="7"/>
      <c r="AQ330" s="7"/>
      <c r="AR330" s="7"/>
      <c r="AS330" s="7"/>
      <c r="AT330" s="7"/>
      <c r="AU330" s="7"/>
      <c r="AV330" s="69"/>
      <c r="BP330" s="18"/>
      <c r="BQ330" s="18"/>
      <c r="BR330" s="18"/>
      <c r="BS330" s="18"/>
      <c r="BT330" s="18"/>
      <c r="BU330" s="18"/>
      <c r="BV330" s="18"/>
      <c r="BW330" s="18"/>
      <c r="CV330" s="18"/>
      <c r="CW330" s="18"/>
      <c r="CX330" s="18"/>
      <c r="CY330" s="18"/>
      <c r="CZ330" s="18"/>
      <c r="DA330" s="18"/>
      <c r="DB330" s="18"/>
      <c r="DC330" s="18"/>
      <c r="DD330" s="18"/>
      <c r="DE330" s="18"/>
      <c r="DF330" s="18"/>
      <c r="DG330" s="18"/>
      <c r="DH330" s="18"/>
      <c r="DI330" s="18"/>
      <c r="DJ330" s="18"/>
      <c r="DK330" s="18"/>
      <c r="DL330" s="18"/>
      <c r="DM330" s="18"/>
    </row>
    <row r="331" spans="1:117" x14ac:dyDescent="0.3">
      <c r="A331" s="140"/>
      <c r="B331" s="18"/>
      <c r="C331" s="69"/>
      <c r="D331" s="69"/>
      <c r="E331" s="69"/>
      <c r="F331" s="69"/>
      <c r="G331" s="69"/>
      <c r="H331" s="69"/>
      <c r="AI331" s="7"/>
      <c r="AJ331" s="7"/>
      <c r="AK331" s="7"/>
      <c r="AL331" s="7"/>
      <c r="AM331" s="7"/>
      <c r="AN331" s="7"/>
      <c r="AO331" s="7"/>
      <c r="AP331" s="7"/>
      <c r="AQ331" s="7"/>
      <c r="AR331" s="7"/>
      <c r="AS331" s="7"/>
      <c r="AT331" s="7"/>
      <c r="AU331" s="7"/>
      <c r="AV331" s="69"/>
      <c r="CV331" s="18"/>
      <c r="CW331" s="18"/>
      <c r="CX331" s="18"/>
      <c r="CY331" s="18"/>
      <c r="CZ331" s="18"/>
      <c r="DA331" s="18"/>
      <c r="DB331" s="18"/>
      <c r="DC331" s="18"/>
      <c r="DD331" s="18"/>
      <c r="DE331" s="18"/>
      <c r="DF331" s="18"/>
      <c r="DG331" s="18"/>
      <c r="DH331" s="18"/>
      <c r="DI331" s="18"/>
      <c r="DJ331" s="18"/>
      <c r="DK331" s="18"/>
      <c r="DL331" s="18"/>
      <c r="DM331" s="18"/>
    </row>
    <row r="332" spans="1:117" x14ac:dyDescent="0.3">
      <c r="A332" s="140"/>
      <c r="B332" s="18"/>
      <c r="C332" s="69"/>
      <c r="D332" s="69"/>
      <c r="E332" s="69"/>
      <c r="F332" s="69"/>
      <c r="G332" s="69"/>
      <c r="H332" s="69"/>
      <c r="AI332" s="7"/>
      <c r="AJ332" s="7"/>
      <c r="AK332" s="7"/>
      <c r="AL332" s="7"/>
      <c r="AM332" s="7"/>
      <c r="AN332" s="7"/>
      <c r="AO332" s="7"/>
      <c r="AP332" s="7"/>
      <c r="AQ332" s="7"/>
      <c r="AR332" s="7"/>
      <c r="AS332" s="7"/>
      <c r="AT332" s="7"/>
      <c r="AU332" s="7"/>
      <c r="AV332" s="69"/>
      <c r="CV332" s="18"/>
      <c r="CW332" s="18"/>
      <c r="CX332" s="18"/>
      <c r="CY332" s="18"/>
      <c r="CZ332" s="18"/>
      <c r="DA332" s="18"/>
      <c r="DB332" s="18"/>
      <c r="DC332" s="18"/>
      <c r="DD332" s="18"/>
      <c r="DE332" s="18"/>
      <c r="DF332" s="18"/>
      <c r="DG332" s="18"/>
      <c r="DH332" s="18"/>
      <c r="DI332" s="18"/>
      <c r="DJ332" s="18"/>
      <c r="DK332" s="18"/>
      <c r="DL332" s="18"/>
      <c r="DM332" s="18"/>
    </row>
    <row r="333" spans="1:117" x14ac:dyDescent="0.3">
      <c r="A333" s="140"/>
      <c r="B333" s="18"/>
      <c r="C333" s="69"/>
      <c r="D333" s="69"/>
      <c r="E333" s="69"/>
      <c r="F333" s="69"/>
      <c r="G333" s="69"/>
      <c r="H333" s="69"/>
      <c r="AI333" s="7"/>
      <c r="AJ333" s="7"/>
      <c r="AK333" s="7"/>
      <c r="AL333" s="7"/>
      <c r="AM333" s="7"/>
      <c r="AN333" s="7"/>
      <c r="AO333" s="7"/>
      <c r="AP333" s="7"/>
      <c r="AQ333" s="7"/>
      <c r="AR333" s="7"/>
      <c r="AS333" s="7"/>
      <c r="AT333" s="7"/>
      <c r="AU333" s="7"/>
      <c r="AV333" s="69"/>
    </row>
    <row r="334" spans="1:117" x14ac:dyDescent="0.3">
      <c r="A334" s="140"/>
      <c r="B334" s="18"/>
      <c r="C334" s="69"/>
      <c r="D334" s="69"/>
      <c r="E334" s="69"/>
      <c r="F334" s="69"/>
      <c r="G334" s="69"/>
      <c r="H334" s="69"/>
      <c r="AI334" s="7"/>
      <c r="AJ334" s="7"/>
      <c r="AK334" s="7"/>
      <c r="AL334" s="7"/>
      <c r="AM334" s="7"/>
      <c r="AN334" s="7"/>
      <c r="AO334" s="7"/>
      <c r="AP334" s="7"/>
      <c r="AQ334" s="7"/>
      <c r="AR334" s="7"/>
      <c r="AS334" s="7"/>
      <c r="AT334" s="7"/>
      <c r="AU334" s="7"/>
      <c r="AV334" s="69"/>
    </row>
    <row r="335" spans="1:117" x14ac:dyDescent="0.3">
      <c r="A335" s="140"/>
      <c r="B335" s="18"/>
      <c r="C335" s="69"/>
      <c r="D335" s="69"/>
      <c r="E335" s="69"/>
      <c r="F335" s="69"/>
      <c r="G335" s="69"/>
      <c r="H335" s="69"/>
      <c r="AI335" s="7"/>
      <c r="AJ335" s="7"/>
      <c r="AK335" s="7"/>
      <c r="AL335" s="7"/>
      <c r="AM335" s="7"/>
      <c r="AN335" s="7"/>
      <c r="AO335" s="7"/>
      <c r="AP335" s="7"/>
      <c r="AQ335" s="7"/>
      <c r="AR335" s="7"/>
      <c r="AS335" s="7"/>
      <c r="AT335" s="7"/>
      <c r="AU335" s="7"/>
      <c r="AV335" s="69"/>
    </row>
    <row r="336" spans="1:117" x14ac:dyDescent="0.3">
      <c r="C336" s="32"/>
      <c r="D336" s="32"/>
      <c r="E336" s="32"/>
      <c r="F336" s="32"/>
      <c r="G336" s="32"/>
      <c r="H336" s="32"/>
      <c r="AI336" s="7"/>
      <c r="AJ336" s="7"/>
      <c r="AK336" s="7"/>
      <c r="AL336" s="7"/>
      <c r="AM336" s="7"/>
      <c r="AN336" s="7"/>
      <c r="AO336" s="7"/>
      <c r="AP336" s="7"/>
      <c r="AQ336" s="7"/>
      <c r="AR336" s="7"/>
      <c r="AS336" s="7"/>
      <c r="AT336" s="7"/>
      <c r="AU336" s="7"/>
      <c r="AV336" s="69"/>
    </row>
    <row r="337" spans="3:48" x14ac:dyDescent="0.3">
      <c r="C337" s="32"/>
      <c r="D337" s="32"/>
      <c r="E337" s="32"/>
      <c r="F337" s="32"/>
      <c r="G337" s="32"/>
      <c r="H337" s="32"/>
      <c r="AI337" s="7"/>
      <c r="AJ337" s="7"/>
      <c r="AK337" s="7"/>
      <c r="AL337" s="7"/>
      <c r="AM337" s="7"/>
      <c r="AN337" s="7"/>
      <c r="AO337" s="7"/>
      <c r="AP337" s="7"/>
      <c r="AQ337" s="7"/>
      <c r="AR337" s="7"/>
      <c r="AS337" s="7"/>
      <c r="AT337" s="7"/>
      <c r="AU337" s="7"/>
      <c r="AV337" s="69"/>
    </row>
    <row r="338" spans="3:48" x14ac:dyDescent="0.3">
      <c r="C338" s="32"/>
      <c r="D338" s="32"/>
      <c r="E338" s="32"/>
      <c r="F338" s="32"/>
      <c r="G338" s="32"/>
      <c r="H338" s="32"/>
    </row>
    <row r="339" spans="3:48" x14ac:dyDescent="0.3">
      <c r="C339" s="32"/>
      <c r="D339" s="32"/>
      <c r="E339" s="32"/>
      <c r="F339" s="32"/>
      <c r="G339" s="32"/>
      <c r="H339" s="32"/>
    </row>
    <row r="340" spans="3:48" x14ac:dyDescent="0.3">
      <c r="C340" s="32"/>
      <c r="D340" s="32"/>
      <c r="E340" s="32"/>
      <c r="F340" s="32"/>
      <c r="G340" s="32"/>
      <c r="H340" s="32"/>
    </row>
    <row r="341" spans="3:48" x14ac:dyDescent="0.3">
      <c r="C341" s="32"/>
      <c r="D341" s="32"/>
      <c r="E341" s="32"/>
      <c r="F341" s="32"/>
      <c r="G341" s="32"/>
      <c r="H341" s="32"/>
    </row>
    <row r="342" spans="3:48" x14ac:dyDescent="0.3">
      <c r="C342" s="32"/>
      <c r="D342" s="32"/>
      <c r="E342" s="32"/>
      <c r="F342" s="32"/>
      <c r="G342" s="32"/>
      <c r="H342" s="32"/>
    </row>
    <row r="343" spans="3:48" x14ac:dyDescent="0.3">
      <c r="C343" s="32"/>
      <c r="D343" s="32"/>
      <c r="E343" s="32"/>
      <c r="F343" s="32"/>
      <c r="G343" s="32"/>
      <c r="H343" s="32"/>
    </row>
    <row r="344" spans="3:48" x14ac:dyDescent="0.3">
      <c r="C344" s="32"/>
      <c r="D344" s="32"/>
      <c r="E344" s="32"/>
      <c r="F344" s="32"/>
      <c r="G344" s="32"/>
      <c r="H344" s="32"/>
    </row>
    <row r="345" spans="3:48" x14ac:dyDescent="0.3">
      <c r="C345" s="32"/>
      <c r="D345" s="32"/>
      <c r="E345" s="32"/>
      <c r="F345" s="32"/>
      <c r="G345" s="32"/>
      <c r="H345" s="32"/>
    </row>
    <row r="346" spans="3:48" x14ac:dyDescent="0.3">
      <c r="C346" s="32"/>
      <c r="D346" s="32"/>
      <c r="E346" s="32"/>
      <c r="F346" s="32"/>
      <c r="G346" s="32"/>
      <c r="H346" s="32"/>
    </row>
    <row r="347" spans="3:48" x14ac:dyDescent="0.3">
      <c r="C347" s="32"/>
      <c r="D347" s="32"/>
      <c r="E347" s="32"/>
      <c r="F347" s="32"/>
      <c r="G347" s="32"/>
      <c r="H347" s="32"/>
    </row>
    <row r="348" spans="3:48" x14ac:dyDescent="0.3">
      <c r="C348" s="32"/>
      <c r="D348" s="32"/>
      <c r="E348" s="32"/>
      <c r="F348" s="32"/>
      <c r="G348" s="32"/>
      <c r="H348" s="32"/>
    </row>
    <row r="349" spans="3:48" x14ac:dyDescent="0.3">
      <c r="C349" s="32"/>
      <c r="D349" s="32"/>
      <c r="E349" s="32"/>
      <c r="F349" s="32"/>
      <c r="G349" s="32"/>
      <c r="H349" s="32"/>
    </row>
    <row r="350" spans="3:48" x14ac:dyDescent="0.3">
      <c r="C350" s="32"/>
      <c r="D350" s="32"/>
      <c r="E350" s="32"/>
      <c r="F350" s="32"/>
      <c r="G350" s="32"/>
      <c r="H350" s="32"/>
    </row>
    <row r="351" spans="3:48" x14ac:dyDescent="0.3">
      <c r="C351" s="32"/>
      <c r="D351" s="32"/>
      <c r="E351" s="32"/>
      <c r="F351" s="32"/>
      <c r="G351" s="32"/>
      <c r="H351" s="32"/>
    </row>
    <row r="352" spans="3:48" x14ac:dyDescent="0.3">
      <c r="C352" s="32"/>
      <c r="D352" s="32"/>
      <c r="E352" s="32"/>
      <c r="F352" s="32"/>
      <c r="G352" s="32"/>
      <c r="H352" s="32"/>
    </row>
    <row r="353" spans="3:8" x14ac:dyDescent="0.3">
      <c r="C353" s="32"/>
      <c r="D353" s="32"/>
      <c r="E353" s="32"/>
      <c r="F353" s="32"/>
      <c r="G353" s="32"/>
      <c r="H353" s="32"/>
    </row>
    <row r="354" spans="3:8" x14ac:dyDescent="0.3">
      <c r="C354" s="32"/>
      <c r="D354" s="32"/>
      <c r="E354" s="32"/>
      <c r="F354" s="32"/>
      <c r="G354" s="32"/>
      <c r="H354" s="32"/>
    </row>
    <row r="355" spans="3:8" x14ac:dyDescent="0.3">
      <c r="C355" s="32"/>
      <c r="D355" s="32"/>
      <c r="E355" s="32"/>
      <c r="F355" s="32"/>
      <c r="G355" s="32"/>
      <c r="H355" s="32"/>
    </row>
    <row r="356" spans="3:8" x14ac:dyDescent="0.3">
      <c r="C356" s="32"/>
      <c r="D356" s="32"/>
      <c r="E356" s="32"/>
      <c r="F356" s="32"/>
      <c r="G356" s="32"/>
      <c r="H356" s="32"/>
    </row>
    <row r="357" spans="3:8" x14ac:dyDescent="0.3">
      <c r="C357" s="32"/>
      <c r="D357" s="32"/>
      <c r="E357" s="32"/>
      <c r="F357" s="32"/>
      <c r="G357" s="32"/>
      <c r="H357" s="32"/>
    </row>
    <row r="358" spans="3:8" x14ac:dyDescent="0.3">
      <c r="C358" s="32"/>
      <c r="D358" s="32"/>
      <c r="E358" s="32"/>
      <c r="F358" s="32"/>
      <c r="G358" s="32"/>
      <c r="H358" s="32"/>
    </row>
    <row r="359" spans="3:8" x14ac:dyDescent="0.3">
      <c r="C359" s="32"/>
      <c r="D359" s="32"/>
      <c r="E359" s="32"/>
      <c r="F359" s="32"/>
      <c r="G359" s="32"/>
      <c r="H359" s="32"/>
    </row>
    <row r="360" spans="3:8" x14ac:dyDescent="0.3">
      <c r="C360" s="32"/>
      <c r="D360" s="32"/>
      <c r="E360" s="32"/>
      <c r="F360" s="32"/>
      <c r="G360" s="32"/>
      <c r="H360" s="32"/>
    </row>
    <row r="361" spans="3:8" x14ac:dyDescent="0.3">
      <c r="C361" s="32"/>
      <c r="D361" s="32"/>
      <c r="E361" s="32"/>
      <c r="F361" s="32"/>
      <c r="G361" s="32"/>
      <c r="H361" s="32"/>
    </row>
    <row r="362" spans="3:8" x14ac:dyDescent="0.3">
      <c r="C362" s="32"/>
      <c r="D362" s="32"/>
      <c r="E362" s="32"/>
      <c r="F362" s="32"/>
      <c r="G362" s="32"/>
      <c r="H362" s="32"/>
    </row>
    <row r="363" spans="3:8" x14ac:dyDescent="0.3">
      <c r="C363" s="32"/>
      <c r="D363" s="32"/>
      <c r="E363" s="32"/>
      <c r="F363" s="32"/>
      <c r="G363" s="32"/>
      <c r="H363" s="32"/>
    </row>
    <row r="364" spans="3:8" x14ac:dyDescent="0.3">
      <c r="C364" s="32"/>
      <c r="D364" s="32"/>
      <c r="E364" s="32"/>
      <c r="F364" s="32"/>
      <c r="G364" s="32"/>
      <c r="H364" s="32"/>
    </row>
    <row r="365" spans="3:8" x14ac:dyDescent="0.3">
      <c r="C365" s="32"/>
      <c r="D365" s="32"/>
      <c r="E365" s="32"/>
      <c r="F365" s="32"/>
      <c r="G365" s="32"/>
      <c r="H365" s="32"/>
    </row>
    <row r="366" spans="3:8" x14ac:dyDescent="0.3">
      <c r="C366" s="32"/>
      <c r="D366" s="32"/>
      <c r="E366" s="32"/>
      <c r="F366" s="32"/>
      <c r="G366" s="32"/>
      <c r="H366" s="32"/>
    </row>
    <row r="367" spans="3:8" x14ac:dyDescent="0.3">
      <c r="C367" s="32"/>
      <c r="D367" s="32"/>
      <c r="E367" s="32"/>
      <c r="F367" s="32"/>
      <c r="G367" s="32"/>
      <c r="H367" s="32"/>
    </row>
    <row r="368" spans="3:8" x14ac:dyDescent="0.3">
      <c r="C368" s="32"/>
      <c r="D368" s="32"/>
      <c r="E368" s="32"/>
      <c r="F368" s="32"/>
      <c r="G368" s="32"/>
      <c r="H368" s="32"/>
    </row>
    <row r="369" spans="3:8" x14ac:dyDescent="0.3">
      <c r="C369" s="32"/>
      <c r="D369" s="32"/>
      <c r="E369" s="32"/>
      <c r="F369" s="32"/>
      <c r="G369" s="32"/>
      <c r="H369" s="32"/>
    </row>
    <row r="370" spans="3:8" x14ac:dyDescent="0.3">
      <c r="C370" s="32"/>
      <c r="D370" s="32"/>
      <c r="E370" s="32"/>
      <c r="F370" s="32"/>
      <c r="G370" s="32"/>
      <c r="H370" s="32"/>
    </row>
    <row r="371" spans="3:8" x14ac:dyDescent="0.3">
      <c r="C371" s="32"/>
      <c r="D371" s="32"/>
      <c r="E371" s="32"/>
      <c r="F371" s="32"/>
      <c r="G371" s="32"/>
      <c r="H371" s="32"/>
    </row>
    <row r="372" spans="3:8" x14ac:dyDescent="0.3">
      <c r="C372" s="32"/>
      <c r="D372" s="32"/>
      <c r="E372" s="32"/>
      <c r="F372" s="32"/>
      <c r="G372" s="32"/>
      <c r="H372" s="32"/>
    </row>
    <row r="373" spans="3:8" x14ac:dyDescent="0.3">
      <c r="C373" s="32"/>
      <c r="D373" s="32"/>
      <c r="E373" s="32"/>
      <c r="F373" s="32"/>
      <c r="G373" s="32"/>
      <c r="H373" s="32"/>
    </row>
    <row r="374" spans="3:8" x14ac:dyDescent="0.3">
      <c r="C374" s="32"/>
      <c r="D374" s="32"/>
      <c r="E374" s="32"/>
      <c r="F374" s="32"/>
      <c r="G374" s="32"/>
      <c r="H374" s="32"/>
    </row>
    <row r="375" spans="3:8" x14ac:dyDescent="0.3">
      <c r="C375" s="32"/>
      <c r="D375" s="32"/>
      <c r="E375" s="32"/>
      <c r="F375" s="32"/>
      <c r="G375" s="32"/>
      <c r="H375" s="32"/>
    </row>
    <row r="376" spans="3:8" x14ac:dyDescent="0.3">
      <c r="C376" s="32"/>
      <c r="D376" s="32"/>
      <c r="E376" s="32"/>
      <c r="F376" s="32"/>
      <c r="G376" s="32"/>
      <c r="H376" s="32"/>
    </row>
    <row r="377" spans="3:8" x14ac:dyDescent="0.3">
      <c r="C377" s="32"/>
      <c r="D377" s="32"/>
      <c r="E377" s="32"/>
      <c r="F377" s="32"/>
      <c r="G377" s="32"/>
      <c r="H377" s="32"/>
    </row>
    <row r="378" spans="3:8" x14ac:dyDescent="0.3">
      <c r="C378" s="32"/>
      <c r="D378" s="32"/>
      <c r="E378" s="32"/>
      <c r="F378" s="32"/>
      <c r="G378" s="32"/>
      <c r="H378" s="32"/>
    </row>
    <row r="379" spans="3:8" x14ac:dyDescent="0.3">
      <c r="C379" s="32"/>
      <c r="D379" s="32"/>
      <c r="E379" s="32"/>
      <c r="F379" s="32"/>
      <c r="G379" s="32"/>
      <c r="H379" s="32"/>
    </row>
    <row r="380" spans="3:8" x14ac:dyDescent="0.3">
      <c r="C380" s="32"/>
      <c r="D380" s="32"/>
      <c r="E380" s="32"/>
      <c r="F380" s="32"/>
      <c r="G380" s="32"/>
      <c r="H380" s="32"/>
    </row>
    <row r="381" spans="3:8" x14ac:dyDescent="0.3">
      <c r="C381" s="32"/>
      <c r="D381" s="32"/>
      <c r="E381" s="32"/>
      <c r="F381" s="32"/>
      <c r="G381" s="32"/>
      <c r="H381" s="32"/>
    </row>
    <row r="382" spans="3:8" x14ac:dyDescent="0.3">
      <c r="C382" s="32"/>
      <c r="D382" s="32"/>
      <c r="E382" s="32"/>
      <c r="F382" s="32"/>
      <c r="G382" s="32"/>
      <c r="H382" s="32"/>
    </row>
    <row r="383" spans="3:8" x14ac:dyDescent="0.3">
      <c r="C383" s="32"/>
      <c r="D383" s="32"/>
      <c r="E383" s="32"/>
      <c r="F383" s="32"/>
      <c r="G383" s="32"/>
      <c r="H383" s="32"/>
    </row>
    <row r="384" spans="3:8" x14ac:dyDescent="0.3">
      <c r="C384" s="32"/>
      <c r="D384" s="32"/>
      <c r="E384" s="32"/>
      <c r="F384" s="32"/>
      <c r="G384" s="32"/>
      <c r="H384" s="32"/>
    </row>
    <row r="385" spans="3:8" x14ac:dyDescent="0.3">
      <c r="C385" s="32"/>
      <c r="D385" s="32"/>
      <c r="E385" s="32"/>
      <c r="F385" s="32"/>
      <c r="G385" s="32"/>
      <c r="H385" s="32"/>
    </row>
    <row r="386" spans="3:8" x14ac:dyDescent="0.3">
      <c r="C386" s="32"/>
      <c r="D386" s="32"/>
      <c r="E386" s="32"/>
      <c r="F386" s="32"/>
      <c r="G386" s="32"/>
      <c r="H386" s="32"/>
    </row>
    <row r="387" spans="3:8" x14ac:dyDescent="0.3">
      <c r="C387" s="32"/>
      <c r="D387" s="32"/>
      <c r="E387" s="32"/>
      <c r="F387" s="32"/>
      <c r="G387" s="32"/>
      <c r="H387" s="32"/>
    </row>
    <row r="388" spans="3:8" x14ac:dyDescent="0.3">
      <c r="C388" s="32"/>
      <c r="D388" s="32"/>
      <c r="E388" s="32"/>
      <c r="F388" s="32"/>
      <c r="G388" s="32"/>
      <c r="H388" s="32"/>
    </row>
    <row r="389" spans="3:8" x14ac:dyDescent="0.3">
      <c r="C389" s="32"/>
      <c r="D389" s="32"/>
      <c r="E389" s="32"/>
      <c r="F389" s="32"/>
      <c r="G389" s="32"/>
      <c r="H389" s="32"/>
    </row>
    <row r="390" spans="3:8" x14ac:dyDescent="0.3">
      <c r="C390" s="32"/>
      <c r="D390" s="32"/>
      <c r="E390" s="32"/>
      <c r="F390" s="32"/>
      <c r="G390" s="32"/>
      <c r="H390" s="32"/>
    </row>
    <row r="391" spans="3:8" x14ac:dyDescent="0.3">
      <c r="C391" s="32"/>
      <c r="D391" s="32"/>
      <c r="E391" s="32"/>
      <c r="F391" s="32"/>
      <c r="G391" s="32"/>
      <c r="H391" s="32"/>
    </row>
    <row r="392" spans="3:8" x14ac:dyDescent="0.3">
      <c r="C392" s="32"/>
      <c r="D392" s="32"/>
      <c r="E392" s="32"/>
      <c r="F392" s="32"/>
      <c r="G392" s="32"/>
      <c r="H392" s="32"/>
    </row>
    <row r="393" spans="3:8" x14ac:dyDescent="0.3">
      <c r="C393" s="32"/>
      <c r="D393" s="32"/>
      <c r="E393" s="32"/>
      <c r="F393" s="32"/>
      <c r="G393" s="32"/>
      <c r="H393" s="32"/>
    </row>
    <row r="394" spans="3:8" x14ac:dyDescent="0.3">
      <c r="C394" s="32"/>
      <c r="D394" s="32"/>
      <c r="E394" s="32"/>
      <c r="F394" s="32"/>
      <c r="G394" s="32"/>
      <c r="H394" s="32"/>
    </row>
    <row r="395" spans="3:8" x14ac:dyDescent="0.3">
      <c r="C395" s="32"/>
      <c r="D395" s="32"/>
      <c r="E395" s="32"/>
      <c r="F395" s="32"/>
      <c r="G395" s="32"/>
      <c r="H395" s="32"/>
    </row>
    <row r="396" spans="3:8" x14ac:dyDescent="0.3">
      <c r="C396" s="32"/>
      <c r="D396" s="32"/>
      <c r="E396" s="32"/>
      <c r="F396" s="32"/>
      <c r="G396" s="32"/>
      <c r="H396" s="32"/>
    </row>
    <row r="397" spans="3:8" x14ac:dyDescent="0.3">
      <c r="C397" s="32"/>
      <c r="D397" s="32"/>
      <c r="E397" s="32"/>
      <c r="F397" s="32"/>
      <c r="G397" s="32"/>
      <c r="H397" s="32"/>
    </row>
    <row r="398" spans="3:8" x14ac:dyDescent="0.3">
      <c r="C398" s="32"/>
      <c r="D398" s="32"/>
      <c r="E398" s="32"/>
      <c r="F398" s="32"/>
      <c r="G398" s="32"/>
      <c r="H398" s="32"/>
    </row>
    <row r="399" spans="3:8" x14ac:dyDescent="0.3">
      <c r="C399" s="32"/>
      <c r="D399" s="32"/>
      <c r="E399" s="32"/>
      <c r="F399" s="32"/>
      <c r="G399" s="32"/>
      <c r="H399" s="32"/>
    </row>
    <row r="400" spans="3:8" x14ac:dyDescent="0.3">
      <c r="C400" s="32"/>
      <c r="D400" s="32"/>
      <c r="E400" s="32"/>
      <c r="F400" s="32"/>
      <c r="G400" s="32"/>
      <c r="H400" s="32"/>
    </row>
    <row r="401" spans="3:8" x14ac:dyDescent="0.3">
      <c r="C401" s="32"/>
      <c r="D401" s="32"/>
      <c r="E401" s="32"/>
      <c r="F401" s="32"/>
      <c r="G401" s="32"/>
      <c r="H401" s="32"/>
    </row>
    <row r="402" spans="3:8" x14ac:dyDescent="0.3">
      <c r="C402" s="32"/>
      <c r="D402" s="32"/>
      <c r="E402" s="32"/>
      <c r="F402" s="32"/>
      <c r="G402" s="32"/>
      <c r="H402" s="32"/>
    </row>
    <row r="403" spans="3:8" x14ac:dyDescent="0.3">
      <c r="C403" s="32"/>
      <c r="D403" s="32"/>
      <c r="E403" s="32"/>
      <c r="F403" s="32"/>
      <c r="G403" s="32"/>
      <c r="H403" s="32"/>
    </row>
    <row r="404" spans="3:8" x14ac:dyDescent="0.3">
      <c r="C404" s="32"/>
      <c r="D404" s="32"/>
      <c r="E404" s="32"/>
      <c r="F404" s="32"/>
      <c r="G404" s="32"/>
      <c r="H404" s="32"/>
    </row>
    <row r="405" spans="3:8" x14ac:dyDescent="0.3">
      <c r="C405" s="32"/>
      <c r="D405" s="32"/>
      <c r="E405" s="32"/>
      <c r="F405" s="32"/>
      <c r="G405" s="32"/>
      <c r="H405" s="32"/>
    </row>
    <row r="406" spans="3:8" x14ac:dyDescent="0.3">
      <c r="C406" s="32"/>
      <c r="D406" s="32"/>
      <c r="E406" s="32"/>
      <c r="F406" s="32"/>
      <c r="G406" s="32"/>
      <c r="H406" s="32"/>
    </row>
    <row r="407" spans="3:8" x14ac:dyDescent="0.3">
      <c r="C407" s="32"/>
      <c r="D407" s="32"/>
      <c r="E407" s="32"/>
      <c r="F407" s="32"/>
      <c r="G407" s="32"/>
      <c r="H407" s="32"/>
    </row>
    <row r="408" spans="3:8" x14ac:dyDescent="0.3">
      <c r="C408" s="32"/>
      <c r="D408" s="32"/>
      <c r="E408" s="32"/>
      <c r="F408" s="32"/>
      <c r="G408" s="32"/>
      <c r="H408" s="32"/>
    </row>
    <row r="409" spans="3:8" x14ac:dyDescent="0.3">
      <c r="C409" s="32"/>
      <c r="D409" s="32"/>
      <c r="E409" s="32"/>
      <c r="F409" s="32"/>
      <c r="G409" s="32"/>
      <c r="H409" s="32"/>
    </row>
    <row r="410" spans="3:8" x14ac:dyDescent="0.3">
      <c r="C410" s="32"/>
      <c r="D410" s="32"/>
      <c r="E410" s="32"/>
      <c r="F410" s="32"/>
      <c r="G410" s="32"/>
      <c r="H410" s="32"/>
    </row>
    <row r="411" spans="3:8" x14ac:dyDescent="0.3">
      <c r="C411" s="32"/>
      <c r="D411" s="32"/>
      <c r="E411" s="32"/>
      <c r="F411" s="32"/>
      <c r="G411" s="32"/>
      <c r="H411" s="32"/>
    </row>
    <row r="412" spans="3:8" x14ac:dyDescent="0.3">
      <c r="C412" s="32"/>
      <c r="D412" s="32"/>
      <c r="E412" s="32"/>
      <c r="F412" s="32"/>
      <c r="G412" s="32"/>
      <c r="H412" s="32"/>
    </row>
    <row r="413" spans="3:8" x14ac:dyDescent="0.3">
      <c r="C413" s="32"/>
      <c r="D413" s="32"/>
      <c r="E413" s="32"/>
      <c r="F413" s="32"/>
      <c r="G413" s="32"/>
      <c r="H413" s="32"/>
    </row>
    <row r="414" spans="3:8" x14ac:dyDescent="0.3">
      <c r="C414" s="32"/>
      <c r="D414" s="32"/>
      <c r="E414" s="32"/>
      <c r="F414" s="32"/>
      <c r="G414" s="32"/>
      <c r="H414" s="32"/>
    </row>
    <row r="415" spans="3:8" x14ac:dyDescent="0.3">
      <c r="C415" s="32"/>
      <c r="D415" s="32"/>
      <c r="E415" s="32"/>
      <c r="F415" s="32"/>
      <c r="G415" s="32"/>
      <c r="H415" s="32"/>
    </row>
    <row r="416" spans="3:8" x14ac:dyDescent="0.3">
      <c r="C416" s="32"/>
      <c r="D416" s="32"/>
      <c r="E416" s="32"/>
      <c r="F416" s="32"/>
      <c r="G416" s="32"/>
      <c r="H416" s="32"/>
    </row>
    <row r="417" spans="3:8" x14ac:dyDescent="0.3">
      <c r="C417" s="32"/>
      <c r="D417" s="32"/>
      <c r="E417" s="32"/>
      <c r="F417" s="32"/>
      <c r="G417" s="32"/>
      <c r="H417" s="32"/>
    </row>
    <row r="418" spans="3:8" x14ac:dyDescent="0.3">
      <c r="C418" s="32"/>
      <c r="D418" s="32"/>
      <c r="E418" s="32"/>
      <c r="F418" s="32"/>
      <c r="G418" s="32"/>
      <c r="H418" s="32"/>
    </row>
    <row r="419" spans="3:8" x14ac:dyDescent="0.3">
      <c r="C419" s="32"/>
      <c r="D419" s="32"/>
      <c r="E419" s="32"/>
      <c r="F419" s="32"/>
      <c r="G419" s="32"/>
      <c r="H419" s="32"/>
    </row>
    <row r="420" spans="3:8" x14ac:dyDescent="0.3">
      <c r="C420" s="32"/>
      <c r="D420" s="32"/>
      <c r="E420" s="32"/>
      <c r="F420" s="32"/>
      <c r="G420" s="32"/>
      <c r="H420" s="32"/>
    </row>
    <row r="421" spans="3:8" x14ac:dyDescent="0.3">
      <c r="C421" s="32"/>
      <c r="D421" s="32"/>
      <c r="E421" s="32"/>
      <c r="F421" s="32"/>
      <c r="G421" s="32"/>
      <c r="H421" s="32"/>
    </row>
    <row r="422" spans="3:8" x14ac:dyDescent="0.3">
      <c r="C422" s="32"/>
      <c r="D422" s="32"/>
      <c r="E422" s="32"/>
      <c r="F422" s="32"/>
      <c r="G422" s="32"/>
      <c r="H422" s="32"/>
    </row>
    <row r="423" spans="3:8" x14ac:dyDescent="0.3">
      <c r="C423" s="32"/>
      <c r="D423" s="32"/>
      <c r="E423" s="32"/>
      <c r="F423" s="32"/>
      <c r="G423" s="32"/>
      <c r="H423" s="32"/>
    </row>
    <row r="424" spans="3:8" x14ac:dyDescent="0.3">
      <c r="C424" s="32"/>
      <c r="D424" s="32"/>
      <c r="E424" s="32"/>
      <c r="F424" s="32"/>
      <c r="G424" s="32"/>
      <c r="H424" s="32"/>
    </row>
    <row r="425" spans="3:8" x14ac:dyDescent="0.3">
      <c r="C425" s="32"/>
      <c r="D425" s="32"/>
      <c r="E425" s="32"/>
      <c r="F425" s="32"/>
      <c r="G425" s="32"/>
      <c r="H425" s="32"/>
    </row>
    <row r="426" spans="3:8" x14ac:dyDescent="0.3">
      <c r="C426" s="32"/>
      <c r="D426" s="32"/>
      <c r="E426" s="32"/>
      <c r="F426" s="32"/>
      <c r="G426" s="32"/>
      <c r="H426" s="32"/>
    </row>
    <row r="427" spans="3:8" x14ac:dyDescent="0.3">
      <c r="C427" s="32"/>
      <c r="D427" s="32"/>
      <c r="E427" s="32"/>
      <c r="F427" s="32"/>
      <c r="G427" s="32"/>
      <c r="H427" s="32"/>
    </row>
    <row r="428" spans="3:8" x14ac:dyDescent="0.3">
      <c r="C428" s="32"/>
      <c r="D428" s="32"/>
      <c r="E428" s="32"/>
      <c r="F428" s="32"/>
      <c r="G428" s="32"/>
      <c r="H428" s="32"/>
    </row>
    <row r="429" spans="3:8" x14ac:dyDescent="0.3">
      <c r="C429" s="32"/>
      <c r="D429" s="32"/>
      <c r="E429" s="32"/>
      <c r="F429" s="32"/>
      <c r="G429" s="32"/>
      <c r="H429" s="32"/>
    </row>
    <row r="430" spans="3:8" x14ac:dyDescent="0.3">
      <c r="C430" s="32"/>
      <c r="D430" s="32"/>
      <c r="E430" s="32"/>
      <c r="F430" s="32"/>
      <c r="G430" s="32"/>
      <c r="H430" s="32"/>
    </row>
    <row r="431" spans="3:8" x14ac:dyDescent="0.3">
      <c r="C431" s="32"/>
      <c r="D431" s="32"/>
      <c r="E431" s="32"/>
      <c r="F431" s="32"/>
      <c r="G431" s="32"/>
      <c r="H431" s="32"/>
    </row>
    <row r="432" spans="3:8" x14ac:dyDescent="0.3">
      <c r="C432" s="32"/>
      <c r="D432" s="32"/>
      <c r="E432" s="32"/>
      <c r="F432" s="32"/>
      <c r="G432" s="32"/>
      <c r="H432" s="32"/>
    </row>
    <row r="433" spans="3:8" x14ac:dyDescent="0.3">
      <c r="C433" s="32"/>
      <c r="D433" s="32"/>
      <c r="E433" s="32"/>
      <c r="F433" s="32"/>
      <c r="G433" s="32"/>
      <c r="H433" s="32"/>
    </row>
    <row r="434" spans="3:8" x14ac:dyDescent="0.3">
      <c r="C434" s="32"/>
      <c r="D434" s="32"/>
      <c r="E434" s="32"/>
      <c r="F434" s="32"/>
      <c r="G434" s="32"/>
      <c r="H434" s="32"/>
    </row>
    <row r="435" spans="3:8" x14ac:dyDescent="0.3">
      <c r="C435" s="32"/>
      <c r="D435" s="32"/>
      <c r="E435" s="32"/>
      <c r="F435" s="32"/>
      <c r="G435" s="32"/>
      <c r="H435" s="32"/>
    </row>
    <row r="436" spans="3:8" x14ac:dyDescent="0.3">
      <c r="C436" s="32"/>
      <c r="D436" s="32"/>
      <c r="E436" s="32"/>
      <c r="F436" s="32"/>
      <c r="G436" s="32"/>
      <c r="H436" s="32"/>
    </row>
    <row r="437" spans="3:8" x14ac:dyDescent="0.3">
      <c r="C437" s="32"/>
      <c r="D437" s="32"/>
      <c r="E437" s="32"/>
      <c r="F437" s="32"/>
      <c r="G437" s="32"/>
      <c r="H437" s="32"/>
    </row>
    <row r="438" spans="3:8" x14ac:dyDescent="0.3">
      <c r="C438" s="32"/>
      <c r="D438" s="32"/>
      <c r="E438" s="32"/>
      <c r="F438" s="32"/>
      <c r="G438" s="32"/>
      <c r="H438" s="32"/>
    </row>
    <row r="439" spans="3:8" x14ac:dyDescent="0.3">
      <c r="C439" s="32"/>
      <c r="D439" s="32"/>
      <c r="E439" s="32"/>
      <c r="F439" s="32"/>
      <c r="G439" s="32"/>
      <c r="H439" s="32"/>
    </row>
    <row r="440" spans="3:8" x14ac:dyDescent="0.3">
      <c r="C440" s="32"/>
      <c r="D440" s="32"/>
      <c r="E440" s="32"/>
      <c r="F440" s="32"/>
      <c r="G440" s="32"/>
      <c r="H440" s="32"/>
    </row>
    <row r="441" spans="3:8" x14ac:dyDescent="0.3">
      <c r="C441" s="32"/>
      <c r="D441" s="32"/>
      <c r="E441" s="32"/>
      <c r="F441" s="32"/>
      <c r="G441" s="32"/>
      <c r="H441" s="32"/>
    </row>
    <row r="442" spans="3:8" x14ac:dyDescent="0.3">
      <c r="C442" s="32"/>
      <c r="D442" s="32"/>
      <c r="E442" s="32"/>
      <c r="F442" s="32"/>
      <c r="G442" s="32"/>
      <c r="H442" s="32"/>
    </row>
    <row r="443" spans="3:8" x14ac:dyDescent="0.3">
      <c r="C443" s="32"/>
      <c r="D443" s="32"/>
      <c r="E443" s="32"/>
      <c r="F443" s="32"/>
      <c r="G443" s="32"/>
      <c r="H443" s="32"/>
    </row>
    <row r="444" spans="3:8" x14ac:dyDescent="0.3">
      <c r="C444" s="32"/>
      <c r="D444" s="32"/>
      <c r="E444" s="32"/>
      <c r="F444" s="32"/>
      <c r="G444" s="32"/>
      <c r="H444" s="32"/>
    </row>
    <row r="445" spans="3:8" x14ac:dyDescent="0.3">
      <c r="C445" s="32"/>
      <c r="D445" s="32"/>
      <c r="E445" s="32"/>
      <c r="F445" s="32"/>
      <c r="G445" s="32"/>
      <c r="H445" s="32"/>
    </row>
    <row r="446" spans="3:8" x14ac:dyDescent="0.3">
      <c r="C446" s="32"/>
      <c r="D446" s="32"/>
      <c r="E446" s="32"/>
      <c r="F446" s="32"/>
      <c r="G446" s="32"/>
      <c r="H446" s="32"/>
    </row>
    <row r="447" spans="3:8" x14ac:dyDescent="0.3">
      <c r="C447" s="32"/>
      <c r="D447" s="32"/>
      <c r="E447" s="32"/>
      <c r="F447" s="32"/>
      <c r="G447" s="32"/>
      <c r="H447" s="32"/>
    </row>
    <row r="448" spans="3:8" x14ac:dyDescent="0.3">
      <c r="C448" s="32"/>
      <c r="D448" s="32"/>
      <c r="E448" s="32"/>
      <c r="F448" s="32"/>
      <c r="G448" s="32"/>
      <c r="H448" s="32"/>
    </row>
    <row r="449" spans="3:8" x14ac:dyDescent="0.3">
      <c r="C449" s="32"/>
      <c r="D449" s="32"/>
      <c r="E449" s="32"/>
      <c r="F449" s="32"/>
      <c r="G449" s="32"/>
      <c r="H449" s="32"/>
    </row>
    <row r="450" spans="3:8" x14ac:dyDescent="0.3">
      <c r="C450" s="32"/>
      <c r="D450" s="32"/>
      <c r="E450" s="32"/>
      <c r="F450" s="32"/>
      <c r="G450" s="32"/>
      <c r="H450" s="32"/>
    </row>
    <row r="451" spans="3:8" x14ac:dyDescent="0.3">
      <c r="C451" s="32"/>
      <c r="D451" s="32"/>
      <c r="E451" s="32"/>
      <c r="F451" s="32"/>
      <c r="G451" s="32"/>
      <c r="H451" s="32"/>
    </row>
    <row r="452" spans="3:8" x14ac:dyDescent="0.3">
      <c r="C452" s="32"/>
      <c r="D452" s="32"/>
      <c r="E452" s="32"/>
      <c r="F452" s="32"/>
      <c r="G452" s="32"/>
      <c r="H452" s="32"/>
    </row>
    <row r="453" spans="3:8" x14ac:dyDescent="0.3">
      <c r="C453" s="32"/>
      <c r="D453" s="32"/>
      <c r="E453" s="32"/>
      <c r="F453" s="32"/>
      <c r="G453" s="32"/>
      <c r="H453" s="32"/>
    </row>
    <row r="454" spans="3:8" x14ac:dyDescent="0.3">
      <c r="C454" s="32"/>
      <c r="D454" s="32"/>
      <c r="E454" s="32"/>
      <c r="F454" s="32"/>
      <c r="G454" s="32"/>
      <c r="H454" s="32"/>
    </row>
    <row r="455" spans="3:8" x14ac:dyDescent="0.3">
      <c r="C455" s="32"/>
      <c r="D455" s="32"/>
      <c r="E455" s="32"/>
      <c r="F455" s="32"/>
      <c r="G455" s="32"/>
      <c r="H455" s="32"/>
    </row>
    <row r="456" spans="3:8" x14ac:dyDescent="0.3">
      <c r="C456" s="32"/>
      <c r="D456" s="32"/>
      <c r="E456" s="32"/>
      <c r="F456" s="32"/>
      <c r="G456" s="32"/>
      <c r="H456" s="32"/>
    </row>
    <row r="457" spans="3:8" x14ac:dyDescent="0.3">
      <c r="C457" s="32"/>
      <c r="D457" s="32"/>
      <c r="E457" s="32"/>
      <c r="F457" s="32"/>
      <c r="G457" s="32"/>
      <c r="H457" s="32"/>
    </row>
    <row r="458" spans="3:8" x14ac:dyDescent="0.3">
      <c r="C458" s="32"/>
      <c r="D458" s="32"/>
      <c r="E458" s="32"/>
      <c r="F458" s="32"/>
      <c r="G458" s="32"/>
      <c r="H458" s="32"/>
    </row>
    <row r="459" spans="3:8" x14ac:dyDescent="0.3">
      <c r="C459" s="32"/>
      <c r="D459" s="32"/>
      <c r="E459" s="32"/>
      <c r="F459" s="32"/>
      <c r="G459" s="32"/>
      <c r="H459" s="32"/>
    </row>
    <row r="460" spans="3:8" x14ac:dyDescent="0.3">
      <c r="C460" s="32"/>
      <c r="D460" s="32"/>
      <c r="E460" s="32"/>
      <c r="F460" s="32"/>
      <c r="G460" s="32"/>
      <c r="H460" s="32"/>
    </row>
    <row r="461" spans="3:8" x14ac:dyDescent="0.3">
      <c r="C461" s="32"/>
      <c r="D461" s="32"/>
      <c r="E461" s="32"/>
      <c r="F461" s="32"/>
      <c r="G461" s="32"/>
      <c r="H461" s="32"/>
    </row>
    <row r="462" spans="3:8" x14ac:dyDescent="0.3">
      <c r="C462" s="32"/>
      <c r="D462" s="32"/>
      <c r="E462" s="32"/>
      <c r="F462" s="32"/>
      <c r="G462" s="32"/>
      <c r="H462" s="32"/>
    </row>
    <row r="463" spans="3:8" x14ac:dyDescent="0.3">
      <c r="C463" s="32"/>
      <c r="D463" s="32"/>
      <c r="E463" s="32"/>
      <c r="F463" s="32"/>
      <c r="G463" s="32"/>
      <c r="H463" s="32"/>
    </row>
    <row r="464" spans="3:8" x14ac:dyDescent="0.3">
      <c r="C464" s="32"/>
      <c r="D464" s="32"/>
      <c r="E464" s="32"/>
      <c r="F464" s="32"/>
      <c r="G464" s="32"/>
      <c r="H464" s="32"/>
    </row>
    <row r="465" spans="3:8" x14ac:dyDescent="0.3">
      <c r="C465" s="32"/>
      <c r="D465" s="32"/>
      <c r="E465" s="32"/>
      <c r="F465" s="32"/>
      <c r="G465" s="32"/>
      <c r="H465" s="32"/>
    </row>
    <row r="466" spans="3:8" x14ac:dyDescent="0.3">
      <c r="C466" s="32"/>
      <c r="D466" s="32"/>
      <c r="E466" s="32"/>
      <c r="F466" s="32"/>
      <c r="G466" s="32"/>
      <c r="H466" s="32"/>
    </row>
    <row r="467" spans="3:8" x14ac:dyDescent="0.3">
      <c r="C467" s="32"/>
      <c r="D467" s="32"/>
      <c r="E467" s="32"/>
      <c r="F467" s="32"/>
      <c r="G467" s="32"/>
      <c r="H467" s="32"/>
    </row>
    <row r="468" spans="3:8" x14ac:dyDescent="0.3">
      <c r="C468" s="32"/>
      <c r="D468" s="32"/>
      <c r="E468" s="32"/>
      <c r="F468" s="32"/>
      <c r="G468" s="32"/>
      <c r="H468" s="32"/>
    </row>
    <row r="469" spans="3:8" x14ac:dyDescent="0.3">
      <c r="C469" s="32"/>
      <c r="D469" s="32"/>
      <c r="E469" s="32"/>
      <c r="F469" s="32"/>
      <c r="G469" s="32"/>
      <c r="H469" s="32"/>
    </row>
    <row r="470" spans="3:8" x14ac:dyDescent="0.3">
      <c r="C470" s="32"/>
      <c r="D470" s="32"/>
      <c r="E470" s="32"/>
      <c r="F470" s="32"/>
      <c r="G470" s="32"/>
      <c r="H470" s="32"/>
    </row>
    <row r="471" spans="3:8" x14ac:dyDescent="0.3">
      <c r="C471" s="32"/>
      <c r="D471" s="32"/>
      <c r="E471" s="32"/>
      <c r="F471" s="32"/>
      <c r="G471" s="32"/>
      <c r="H471" s="32"/>
    </row>
    <row r="472" spans="3:8" x14ac:dyDescent="0.3">
      <c r="C472" s="32"/>
      <c r="D472" s="32"/>
      <c r="E472" s="32"/>
      <c r="F472" s="32"/>
      <c r="G472" s="32"/>
      <c r="H472" s="32"/>
    </row>
    <row r="473" spans="3:8" x14ac:dyDescent="0.3">
      <c r="C473" s="32"/>
      <c r="D473" s="32"/>
      <c r="E473" s="32"/>
      <c r="F473" s="32"/>
      <c r="G473" s="32"/>
      <c r="H473" s="32"/>
    </row>
    <row r="474" spans="3:8" x14ac:dyDescent="0.3">
      <c r="C474" s="32"/>
      <c r="D474" s="32"/>
      <c r="E474" s="32"/>
      <c r="F474" s="32"/>
      <c r="G474" s="32"/>
      <c r="H474" s="32"/>
    </row>
    <row r="475" spans="3:8" x14ac:dyDescent="0.3">
      <c r="C475" s="32"/>
      <c r="D475" s="32"/>
      <c r="E475" s="32"/>
      <c r="F475" s="32"/>
      <c r="G475" s="32"/>
      <c r="H475" s="32"/>
    </row>
    <row r="476" spans="3:8" x14ac:dyDescent="0.3">
      <c r="C476" s="32"/>
      <c r="D476" s="32"/>
      <c r="E476" s="32"/>
      <c r="F476" s="32"/>
      <c r="G476" s="32"/>
      <c r="H476" s="32"/>
    </row>
    <row r="477" spans="3:8" x14ac:dyDescent="0.3">
      <c r="C477" s="32"/>
      <c r="D477" s="32"/>
      <c r="E477" s="32"/>
      <c r="F477" s="32"/>
      <c r="G477" s="32"/>
      <c r="H477" s="32"/>
    </row>
    <row r="478" spans="3:8" x14ac:dyDescent="0.3">
      <c r="C478" s="32"/>
      <c r="D478" s="32"/>
      <c r="E478" s="32"/>
      <c r="F478" s="32"/>
      <c r="G478" s="32"/>
      <c r="H478" s="32"/>
    </row>
    <row r="479" spans="3:8" x14ac:dyDescent="0.3">
      <c r="C479" s="32"/>
      <c r="D479" s="32"/>
      <c r="E479" s="32"/>
      <c r="F479" s="32"/>
      <c r="G479" s="32"/>
      <c r="H479" s="32"/>
    </row>
    <row r="480" spans="3:8" x14ac:dyDescent="0.3">
      <c r="C480" s="32"/>
      <c r="D480" s="32"/>
      <c r="E480" s="32"/>
      <c r="F480" s="32"/>
      <c r="G480" s="32"/>
      <c r="H480" s="32"/>
    </row>
    <row r="481" spans="3:8" x14ac:dyDescent="0.3">
      <c r="C481" s="32"/>
      <c r="D481" s="32"/>
      <c r="E481" s="32"/>
      <c r="F481" s="32"/>
      <c r="G481" s="32"/>
      <c r="H481" s="32"/>
    </row>
    <row r="482" spans="3:8" x14ac:dyDescent="0.3">
      <c r="C482" s="32"/>
      <c r="D482" s="32"/>
      <c r="E482" s="32"/>
      <c r="F482" s="32"/>
      <c r="G482" s="32"/>
      <c r="H482" s="32"/>
    </row>
    <row r="483" spans="3:8" x14ac:dyDescent="0.3">
      <c r="C483" s="32"/>
      <c r="D483" s="32"/>
      <c r="E483" s="32"/>
      <c r="F483" s="32"/>
      <c r="G483" s="32"/>
      <c r="H483" s="32"/>
    </row>
    <row r="484" spans="3:8" x14ac:dyDescent="0.3">
      <c r="C484" s="32"/>
      <c r="D484" s="32"/>
      <c r="E484" s="32"/>
      <c r="F484" s="32"/>
      <c r="G484" s="32"/>
      <c r="H484" s="32"/>
    </row>
    <row r="485" spans="3:8" x14ac:dyDescent="0.3">
      <c r="C485" s="32"/>
      <c r="D485" s="32"/>
      <c r="E485" s="32"/>
      <c r="F485" s="32"/>
      <c r="G485" s="32"/>
      <c r="H485" s="32"/>
    </row>
    <row r="486" spans="3:8" x14ac:dyDescent="0.3">
      <c r="C486" s="32"/>
      <c r="D486" s="32"/>
      <c r="E486" s="32"/>
      <c r="F486" s="32"/>
      <c r="G486" s="32"/>
      <c r="H486" s="32"/>
    </row>
    <row r="487" spans="3:8" x14ac:dyDescent="0.3">
      <c r="C487" s="32"/>
      <c r="D487" s="32"/>
      <c r="E487" s="32"/>
      <c r="F487" s="32"/>
      <c r="G487" s="32"/>
      <c r="H487" s="32"/>
    </row>
    <row r="488" spans="3:8" x14ac:dyDescent="0.3">
      <c r="C488" s="32"/>
      <c r="D488" s="32"/>
      <c r="E488" s="32"/>
      <c r="F488" s="32"/>
      <c r="G488" s="32"/>
      <c r="H488" s="32"/>
    </row>
    <row r="489" spans="3:8" x14ac:dyDescent="0.3">
      <c r="C489" s="32"/>
      <c r="D489" s="32"/>
      <c r="E489" s="32"/>
      <c r="F489" s="32"/>
      <c r="G489" s="32"/>
      <c r="H489" s="32"/>
    </row>
    <row r="490" spans="3:8" x14ac:dyDescent="0.3">
      <c r="C490" s="32"/>
      <c r="D490" s="32"/>
      <c r="E490" s="32"/>
      <c r="F490" s="32"/>
      <c r="G490" s="32"/>
      <c r="H490" s="32"/>
    </row>
    <row r="491" spans="3:8" x14ac:dyDescent="0.3">
      <c r="C491" s="32"/>
      <c r="D491" s="32"/>
      <c r="E491" s="32"/>
      <c r="F491" s="32"/>
      <c r="G491" s="32"/>
      <c r="H491" s="32"/>
    </row>
    <row r="492" spans="3:8" x14ac:dyDescent="0.3">
      <c r="C492" s="32"/>
      <c r="D492" s="32"/>
      <c r="E492" s="32"/>
      <c r="F492" s="32"/>
      <c r="G492" s="32"/>
      <c r="H492" s="32"/>
    </row>
    <row r="493" spans="3:8" x14ac:dyDescent="0.3">
      <c r="C493" s="32"/>
      <c r="D493" s="32"/>
      <c r="E493" s="32"/>
      <c r="F493" s="32"/>
      <c r="G493" s="32"/>
      <c r="H493" s="32"/>
    </row>
    <row r="494" spans="3:8" x14ac:dyDescent="0.3">
      <c r="C494" s="32"/>
      <c r="D494" s="32"/>
      <c r="E494" s="32"/>
      <c r="F494" s="32"/>
      <c r="G494" s="32"/>
      <c r="H494" s="32"/>
    </row>
    <row r="495" spans="3:8" x14ac:dyDescent="0.3">
      <c r="C495" s="32"/>
      <c r="D495" s="32"/>
      <c r="E495" s="32"/>
      <c r="F495" s="32"/>
      <c r="G495" s="32"/>
      <c r="H495" s="32"/>
    </row>
    <row r="496" spans="3:8" x14ac:dyDescent="0.3">
      <c r="C496" s="32"/>
      <c r="D496" s="32"/>
      <c r="E496" s="32"/>
      <c r="F496" s="32"/>
      <c r="G496" s="32"/>
      <c r="H496" s="32"/>
    </row>
    <row r="497" spans="3:8" x14ac:dyDescent="0.3">
      <c r="C497" s="32"/>
      <c r="D497" s="32"/>
      <c r="E497" s="32"/>
      <c r="F497" s="32"/>
      <c r="G497" s="32"/>
      <c r="H497" s="32"/>
    </row>
    <row r="498" spans="3:8" x14ac:dyDescent="0.3">
      <c r="C498" s="32"/>
      <c r="D498" s="32"/>
      <c r="E498" s="32"/>
      <c r="F498" s="32"/>
      <c r="G498" s="32"/>
      <c r="H498" s="32"/>
    </row>
    <row r="499" spans="3:8" x14ac:dyDescent="0.3">
      <c r="C499" s="32"/>
      <c r="D499" s="32"/>
      <c r="E499" s="32"/>
      <c r="F499" s="32"/>
      <c r="G499" s="32"/>
      <c r="H499" s="32"/>
    </row>
    <row r="500" spans="3:8" x14ac:dyDescent="0.3">
      <c r="C500" s="32"/>
      <c r="D500" s="32"/>
      <c r="E500" s="32"/>
      <c r="F500" s="32"/>
      <c r="G500" s="32"/>
      <c r="H500" s="32"/>
    </row>
    <row r="501" spans="3:8" x14ac:dyDescent="0.3">
      <c r="C501" s="32"/>
      <c r="D501" s="32"/>
      <c r="E501" s="32"/>
      <c r="F501" s="32"/>
      <c r="G501" s="32"/>
      <c r="H501" s="32"/>
    </row>
    <row r="502" spans="3:8" x14ac:dyDescent="0.3">
      <c r="C502" s="32"/>
      <c r="D502" s="32"/>
      <c r="E502" s="32"/>
      <c r="F502" s="32"/>
      <c r="G502" s="32"/>
      <c r="H502" s="32"/>
    </row>
    <row r="503" spans="3:8" x14ac:dyDescent="0.3">
      <c r="C503" s="32"/>
      <c r="D503" s="32"/>
      <c r="E503" s="32"/>
      <c r="F503" s="32"/>
      <c r="G503" s="32"/>
      <c r="H503" s="32"/>
    </row>
    <row r="504" spans="3:8" x14ac:dyDescent="0.3">
      <c r="C504" s="32"/>
      <c r="D504" s="32"/>
      <c r="E504" s="32"/>
      <c r="F504" s="32"/>
      <c r="G504" s="32"/>
      <c r="H504" s="32"/>
    </row>
    <row r="505" spans="3:8" x14ac:dyDescent="0.3">
      <c r="C505" s="32"/>
      <c r="D505" s="32"/>
      <c r="E505" s="32"/>
      <c r="F505" s="32"/>
      <c r="G505" s="32"/>
      <c r="H505" s="32"/>
    </row>
    <row r="506" spans="3:8" x14ac:dyDescent="0.3">
      <c r="C506" s="32"/>
      <c r="D506" s="32"/>
      <c r="E506" s="32"/>
      <c r="F506" s="32"/>
      <c r="G506" s="32"/>
      <c r="H506" s="32"/>
    </row>
    <row r="507" spans="3:8" x14ac:dyDescent="0.3">
      <c r="C507" s="32"/>
      <c r="D507" s="32"/>
      <c r="E507" s="32"/>
      <c r="F507" s="32"/>
      <c r="G507" s="32"/>
      <c r="H507" s="32"/>
    </row>
    <row r="508" spans="3:8" x14ac:dyDescent="0.3">
      <c r="C508" s="32"/>
      <c r="D508" s="32"/>
      <c r="E508" s="32"/>
      <c r="F508" s="32"/>
      <c r="G508" s="32"/>
      <c r="H508" s="32"/>
    </row>
    <row r="509" spans="3:8" x14ac:dyDescent="0.3">
      <c r="C509" s="32"/>
      <c r="D509" s="32"/>
      <c r="E509" s="32"/>
      <c r="F509" s="32"/>
      <c r="G509" s="32"/>
      <c r="H509" s="32"/>
    </row>
    <row r="510" spans="3:8" x14ac:dyDescent="0.3">
      <c r="C510" s="32"/>
      <c r="D510" s="32"/>
      <c r="E510" s="32"/>
      <c r="F510" s="32"/>
      <c r="G510" s="32"/>
      <c r="H510" s="32"/>
    </row>
    <row r="511" spans="3:8" x14ac:dyDescent="0.3">
      <c r="C511" s="32"/>
      <c r="D511" s="32"/>
      <c r="E511" s="32"/>
      <c r="F511" s="32"/>
      <c r="G511" s="32"/>
      <c r="H511" s="32"/>
    </row>
    <row r="512" spans="3:8" x14ac:dyDescent="0.3">
      <c r="C512" s="32"/>
      <c r="D512" s="32"/>
      <c r="E512" s="32"/>
      <c r="F512" s="32"/>
      <c r="G512" s="32"/>
      <c r="H512" s="32"/>
    </row>
    <row r="513" spans="3:8" x14ac:dyDescent="0.3">
      <c r="C513" s="32"/>
      <c r="D513" s="32"/>
      <c r="E513" s="32"/>
      <c r="F513" s="32"/>
      <c r="G513" s="32"/>
      <c r="H513" s="32"/>
    </row>
    <row r="514" spans="3:8" x14ac:dyDescent="0.3">
      <c r="C514" s="32"/>
      <c r="D514" s="32"/>
      <c r="E514" s="32"/>
      <c r="F514" s="32"/>
      <c r="G514" s="32"/>
      <c r="H514" s="32"/>
    </row>
    <row r="515" spans="3:8" x14ac:dyDescent="0.3">
      <c r="C515" s="32"/>
      <c r="D515" s="32"/>
      <c r="E515" s="32"/>
      <c r="F515" s="32"/>
      <c r="G515" s="32"/>
      <c r="H515" s="32"/>
    </row>
    <row r="516" spans="3:8" x14ac:dyDescent="0.3">
      <c r="C516" s="32"/>
      <c r="D516" s="32"/>
      <c r="E516" s="32"/>
      <c r="F516" s="32"/>
      <c r="G516" s="32"/>
      <c r="H516" s="32"/>
    </row>
    <row r="517" spans="3:8" x14ac:dyDescent="0.3">
      <c r="C517" s="32"/>
      <c r="D517" s="32"/>
      <c r="E517" s="32"/>
      <c r="F517" s="32"/>
      <c r="G517" s="32"/>
      <c r="H517" s="32"/>
    </row>
    <row r="518" spans="3:8" x14ac:dyDescent="0.3">
      <c r="C518" s="32"/>
      <c r="D518" s="32"/>
      <c r="E518" s="32"/>
      <c r="F518" s="32"/>
      <c r="G518" s="32"/>
      <c r="H518" s="32"/>
    </row>
    <row r="519" spans="3:8" x14ac:dyDescent="0.3">
      <c r="C519" s="32"/>
      <c r="D519" s="32"/>
      <c r="E519" s="32"/>
      <c r="F519" s="32"/>
      <c r="G519" s="32"/>
      <c r="H519" s="32"/>
    </row>
    <row r="520" spans="3:8" x14ac:dyDescent="0.3">
      <c r="C520" s="32"/>
      <c r="D520" s="32"/>
      <c r="E520" s="32"/>
      <c r="F520" s="32"/>
      <c r="G520" s="32"/>
      <c r="H520" s="32"/>
    </row>
    <row r="521" spans="3:8" x14ac:dyDescent="0.3">
      <c r="C521" s="32"/>
      <c r="D521" s="32"/>
      <c r="E521" s="32"/>
      <c r="F521" s="32"/>
      <c r="G521" s="32"/>
      <c r="H521" s="32"/>
    </row>
    <row r="522" spans="3:8" x14ac:dyDescent="0.3">
      <c r="C522" s="32"/>
      <c r="D522" s="32"/>
      <c r="E522" s="32"/>
      <c r="F522" s="32"/>
      <c r="G522" s="32"/>
      <c r="H522" s="32"/>
    </row>
    <row r="523" spans="3:8" x14ac:dyDescent="0.3">
      <c r="C523" s="32"/>
      <c r="D523" s="32"/>
      <c r="E523" s="32"/>
      <c r="F523" s="32"/>
      <c r="G523" s="32"/>
      <c r="H523" s="32"/>
    </row>
    <row r="524" spans="3:8" x14ac:dyDescent="0.3">
      <c r="C524" s="32"/>
      <c r="D524" s="32"/>
      <c r="E524" s="32"/>
      <c r="F524" s="32"/>
      <c r="G524" s="32"/>
      <c r="H524" s="32"/>
    </row>
    <row r="525" spans="3:8" x14ac:dyDescent="0.3">
      <c r="C525" s="32"/>
      <c r="D525" s="32"/>
      <c r="E525" s="32"/>
      <c r="F525" s="32"/>
      <c r="G525" s="32"/>
      <c r="H525" s="32"/>
    </row>
    <row r="526" spans="3:8" x14ac:dyDescent="0.3">
      <c r="C526" s="32"/>
      <c r="D526" s="32"/>
      <c r="E526" s="32"/>
      <c r="F526" s="32"/>
      <c r="G526" s="32"/>
      <c r="H526" s="32"/>
    </row>
    <row r="527" spans="3:8" x14ac:dyDescent="0.3">
      <c r="C527" s="32"/>
      <c r="D527" s="32"/>
      <c r="E527" s="32"/>
      <c r="F527" s="32"/>
      <c r="G527" s="32"/>
      <c r="H527" s="32"/>
    </row>
    <row r="528" spans="3:8" x14ac:dyDescent="0.3">
      <c r="C528" s="32"/>
      <c r="D528" s="32"/>
      <c r="E528" s="32"/>
      <c r="F528" s="32"/>
      <c r="G528" s="32"/>
      <c r="H528" s="32"/>
    </row>
    <row r="529" spans="3:8" x14ac:dyDescent="0.3">
      <c r="C529" s="32"/>
      <c r="D529" s="32"/>
      <c r="E529" s="32"/>
      <c r="F529" s="32"/>
      <c r="G529" s="32"/>
      <c r="H529" s="32"/>
    </row>
    <row r="530" spans="3:8" x14ac:dyDescent="0.3">
      <c r="C530" s="32"/>
      <c r="D530" s="32"/>
      <c r="E530" s="32"/>
      <c r="F530" s="32"/>
      <c r="G530" s="32"/>
      <c r="H530" s="32"/>
    </row>
    <row r="531" spans="3:8" x14ac:dyDescent="0.3">
      <c r="C531" s="32"/>
      <c r="D531" s="32"/>
      <c r="E531" s="32"/>
      <c r="F531" s="32"/>
      <c r="G531" s="32"/>
      <c r="H531" s="32"/>
    </row>
    <row r="532" spans="3:8" x14ac:dyDescent="0.3">
      <c r="C532" s="32"/>
      <c r="D532" s="32"/>
      <c r="E532" s="32"/>
      <c r="F532" s="32"/>
      <c r="G532" s="32"/>
      <c r="H532" s="32"/>
    </row>
    <row r="533" spans="3:8" x14ac:dyDescent="0.3">
      <c r="C533" s="32"/>
      <c r="D533" s="32"/>
      <c r="E533" s="32"/>
      <c r="F533" s="32"/>
      <c r="G533" s="32"/>
      <c r="H533" s="32"/>
    </row>
    <row r="534" spans="3:8" x14ac:dyDescent="0.3">
      <c r="C534" s="32"/>
      <c r="D534" s="32"/>
      <c r="E534" s="32"/>
      <c r="F534" s="32"/>
      <c r="G534" s="32"/>
      <c r="H534" s="32"/>
    </row>
    <row r="535" spans="3:8" x14ac:dyDescent="0.3">
      <c r="C535" s="32"/>
      <c r="D535" s="32"/>
      <c r="E535" s="32"/>
      <c r="F535" s="32"/>
      <c r="G535" s="32"/>
      <c r="H535" s="32"/>
    </row>
    <row r="536" spans="3:8" x14ac:dyDescent="0.3">
      <c r="C536" s="32"/>
      <c r="D536" s="32"/>
      <c r="E536" s="32"/>
      <c r="F536" s="32"/>
      <c r="G536" s="32"/>
      <c r="H536" s="32"/>
    </row>
    <row r="537" spans="3:8" x14ac:dyDescent="0.3">
      <c r="C537" s="32"/>
      <c r="D537" s="32"/>
      <c r="E537" s="32"/>
      <c r="F537" s="32"/>
      <c r="G537" s="32"/>
      <c r="H537" s="32"/>
    </row>
    <row r="538" spans="3:8" x14ac:dyDescent="0.3">
      <c r="C538" s="32"/>
      <c r="D538" s="32"/>
      <c r="E538" s="32"/>
      <c r="F538" s="32"/>
      <c r="G538" s="32"/>
      <c r="H538" s="32"/>
    </row>
    <row r="539" spans="3:8" x14ac:dyDescent="0.3">
      <c r="C539" s="32"/>
      <c r="D539" s="32"/>
      <c r="E539" s="32"/>
      <c r="F539" s="32"/>
      <c r="G539" s="32"/>
      <c r="H539" s="32"/>
    </row>
    <row r="540" spans="3:8" x14ac:dyDescent="0.3">
      <c r="C540" s="32"/>
      <c r="D540" s="32"/>
      <c r="E540" s="32"/>
      <c r="F540" s="32"/>
      <c r="G540" s="32"/>
      <c r="H540" s="32"/>
    </row>
    <row r="541" spans="3:8" x14ac:dyDescent="0.3">
      <c r="C541" s="32"/>
      <c r="D541" s="32"/>
      <c r="E541" s="32"/>
      <c r="F541" s="32"/>
      <c r="G541" s="32"/>
      <c r="H541" s="32"/>
    </row>
    <row r="542" spans="3:8" x14ac:dyDescent="0.3">
      <c r="C542" s="32"/>
      <c r="D542" s="32"/>
      <c r="E542" s="32"/>
      <c r="F542" s="32"/>
      <c r="G542" s="32"/>
      <c r="H542" s="32"/>
    </row>
    <row r="543" spans="3:8" x14ac:dyDescent="0.3">
      <c r="C543" s="32"/>
      <c r="D543" s="32"/>
      <c r="E543" s="32"/>
      <c r="F543" s="32"/>
      <c r="G543" s="32"/>
      <c r="H543" s="32"/>
    </row>
    <row r="544" spans="3:8" x14ac:dyDescent="0.3">
      <c r="C544" s="32"/>
      <c r="D544" s="32"/>
      <c r="E544" s="32"/>
      <c r="F544" s="32"/>
      <c r="G544" s="32"/>
      <c r="H544" s="32"/>
    </row>
    <row r="545" spans="3:8" x14ac:dyDescent="0.3">
      <c r="C545" s="32"/>
      <c r="D545" s="32"/>
      <c r="E545" s="32"/>
      <c r="F545" s="32"/>
      <c r="G545" s="32"/>
      <c r="H545" s="32"/>
    </row>
    <row r="546" spans="3:8" x14ac:dyDescent="0.3">
      <c r="C546" s="32"/>
      <c r="D546" s="32"/>
      <c r="E546" s="32"/>
      <c r="F546" s="32"/>
      <c r="G546" s="32"/>
      <c r="H546" s="32"/>
    </row>
    <row r="547" spans="3:8" x14ac:dyDescent="0.3">
      <c r="C547" s="32"/>
      <c r="D547" s="32"/>
      <c r="E547" s="32"/>
      <c r="F547" s="32"/>
      <c r="G547" s="32"/>
      <c r="H547" s="32"/>
    </row>
    <row r="548" spans="3:8" x14ac:dyDescent="0.3">
      <c r="C548" s="32"/>
      <c r="D548" s="32"/>
      <c r="E548" s="32"/>
      <c r="F548" s="32"/>
      <c r="G548" s="32"/>
      <c r="H548" s="32"/>
    </row>
    <row r="549" spans="3:8" x14ac:dyDescent="0.3">
      <c r="C549" s="32"/>
      <c r="D549" s="32"/>
      <c r="E549" s="32"/>
      <c r="F549" s="32"/>
      <c r="G549" s="32"/>
      <c r="H549" s="32"/>
    </row>
    <row r="550" spans="3:8" x14ac:dyDescent="0.3">
      <c r="C550" s="32"/>
      <c r="D550" s="32"/>
      <c r="E550" s="32"/>
      <c r="F550" s="32"/>
      <c r="G550" s="32"/>
      <c r="H550" s="32"/>
    </row>
    <row r="551" spans="3:8" x14ac:dyDescent="0.3">
      <c r="C551" s="32"/>
      <c r="D551" s="32"/>
      <c r="E551" s="32"/>
      <c r="F551" s="32"/>
      <c r="G551" s="32"/>
      <c r="H551" s="32"/>
    </row>
    <row r="552" spans="3:8" x14ac:dyDescent="0.3">
      <c r="C552" s="32"/>
      <c r="D552" s="32"/>
      <c r="E552" s="32"/>
      <c r="F552" s="32"/>
      <c r="G552" s="32"/>
      <c r="H552" s="32"/>
    </row>
    <row r="553" spans="3:8" x14ac:dyDescent="0.3">
      <c r="C553" s="32"/>
      <c r="D553" s="32"/>
      <c r="E553" s="32"/>
      <c r="F553" s="32"/>
      <c r="G553" s="32"/>
      <c r="H553" s="32"/>
    </row>
    <row r="554" spans="3:8" x14ac:dyDescent="0.3">
      <c r="C554" s="32"/>
      <c r="D554" s="32"/>
      <c r="E554" s="32"/>
      <c r="F554" s="32"/>
      <c r="G554" s="32"/>
      <c r="H554" s="32"/>
    </row>
    <row r="555" spans="3:8" x14ac:dyDescent="0.3">
      <c r="C555" s="32"/>
      <c r="D555" s="32"/>
      <c r="E555" s="32"/>
      <c r="F555" s="32"/>
      <c r="G555" s="32"/>
      <c r="H555" s="32"/>
    </row>
    <row r="556" spans="3:8" x14ac:dyDescent="0.3">
      <c r="C556" s="32"/>
      <c r="D556" s="32"/>
      <c r="E556" s="32"/>
      <c r="F556" s="32"/>
      <c r="G556" s="32"/>
      <c r="H556" s="32"/>
    </row>
    <row r="557" spans="3:8" x14ac:dyDescent="0.3">
      <c r="C557" s="32"/>
      <c r="D557" s="32"/>
      <c r="E557" s="32"/>
      <c r="F557" s="32"/>
      <c r="G557" s="32"/>
      <c r="H557" s="32"/>
    </row>
    <row r="558" spans="3:8" x14ac:dyDescent="0.3">
      <c r="C558" s="32"/>
      <c r="D558" s="32"/>
      <c r="E558" s="32"/>
      <c r="F558" s="32"/>
      <c r="G558" s="32"/>
      <c r="H558" s="32"/>
    </row>
    <row r="559" spans="3:8" x14ac:dyDescent="0.3">
      <c r="C559" s="32"/>
      <c r="D559" s="32"/>
      <c r="E559" s="32"/>
      <c r="F559" s="32"/>
      <c r="G559" s="32"/>
      <c r="H559" s="32"/>
    </row>
    <row r="560" spans="3:8" x14ac:dyDescent="0.3">
      <c r="C560" s="32"/>
      <c r="D560" s="32"/>
      <c r="E560" s="32"/>
      <c r="F560" s="32"/>
      <c r="G560" s="32"/>
      <c r="H560" s="32"/>
    </row>
    <row r="561" spans="3:8" x14ac:dyDescent="0.3">
      <c r="C561" s="32"/>
      <c r="D561" s="32"/>
      <c r="E561" s="32"/>
      <c r="F561" s="32"/>
      <c r="G561" s="32"/>
      <c r="H561" s="32"/>
    </row>
    <row r="562" spans="3:8" x14ac:dyDescent="0.3">
      <c r="C562" s="32"/>
      <c r="D562" s="32"/>
      <c r="E562" s="32"/>
      <c r="F562" s="32"/>
      <c r="G562" s="32"/>
      <c r="H562" s="32"/>
    </row>
    <row r="563" spans="3:8" x14ac:dyDescent="0.3">
      <c r="C563" s="32"/>
      <c r="D563" s="32"/>
      <c r="E563" s="32"/>
      <c r="F563" s="32"/>
      <c r="G563" s="32"/>
      <c r="H563" s="32"/>
    </row>
    <row r="564" spans="3:8" x14ac:dyDescent="0.3">
      <c r="C564" s="32"/>
      <c r="D564" s="32"/>
      <c r="E564" s="32"/>
      <c r="F564" s="32"/>
      <c r="G564" s="32"/>
      <c r="H564" s="32"/>
    </row>
    <row r="565" spans="3:8" x14ac:dyDescent="0.3">
      <c r="C565" s="32"/>
      <c r="D565" s="32"/>
      <c r="E565" s="32"/>
      <c r="F565" s="32"/>
      <c r="G565" s="32"/>
      <c r="H565" s="32"/>
    </row>
    <row r="566" spans="3:8" x14ac:dyDescent="0.3">
      <c r="C566" s="32"/>
      <c r="D566" s="32"/>
      <c r="E566" s="32"/>
      <c r="F566" s="32"/>
      <c r="G566" s="32"/>
      <c r="H566" s="32"/>
    </row>
    <row r="567" spans="3:8" x14ac:dyDescent="0.3">
      <c r="C567" s="32"/>
      <c r="D567" s="32"/>
      <c r="E567" s="32"/>
      <c r="F567" s="32"/>
      <c r="G567" s="32"/>
      <c r="H567" s="32"/>
    </row>
    <row r="568" spans="3:8" x14ac:dyDescent="0.3">
      <c r="C568" s="32"/>
      <c r="D568" s="32"/>
      <c r="E568" s="32"/>
      <c r="F568" s="32"/>
      <c r="G568" s="32"/>
      <c r="H568" s="32"/>
    </row>
    <row r="569" spans="3:8" x14ac:dyDescent="0.3">
      <c r="C569" s="32"/>
      <c r="D569" s="32"/>
      <c r="E569" s="32"/>
      <c r="F569" s="32"/>
      <c r="G569" s="32"/>
      <c r="H569" s="32"/>
    </row>
    <row r="570" spans="3:8" x14ac:dyDescent="0.3">
      <c r="C570" s="32"/>
      <c r="D570" s="32"/>
      <c r="E570" s="32"/>
      <c r="F570" s="32"/>
      <c r="G570" s="32"/>
      <c r="H570" s="32"/>
    </row>
    <row r="571" spans="3:8" x14ac:dyDescent="0.3">
      <c r="C571" s="32"/>
      <c r="D571" s="32"/>
      <c r="E571" s="32"/>
      <c r="F571" s="32"/>
      <c r="G571" s="32"/>
      <c r="H571" s="32"/>
    </row>
    <row r="572" spans="3:8" x14ac:dyDescent="0.3">
      <c r="C572" s="32"/>
      <c r="D572" s="32"/>
      <c r="E572" s="32"/>
      <c r="F572" s="32"/>
      <c r="G572" s="32"/>
      <c r="H572" s="32"/>
    </row>
    <row r="573" spans="3:8" x14ac:dyDescent="0.3">
      <c r="C573" s="32"/>
      <c r="D573" s="32"/>
      <c r="E573" s="32"/>
      <c r="F573" s="32"/>
      <c r="G573" s="32"/>
      <c r="H573" s="32"/>
    </row>
    <row r="574" spans="3:8" x14ac:dyDescent="0.3">
      <c r="C574" s="32"/>
      <c r="D574" s="32"/>
      <c r="E574" s="32"/>
      <c r="F574" s="32"/>
      <c r="G574" s="32"/>
      <c r="H574" s="32"/>
    </row>
    <row r="575" spans="3:8" x14ac:dyDescent="0.3">
      <c r="C575" s="32"/>
      <c r="D575" s="32"/>
      <c r="E575" s="32"/>
      <c r="F575" s="32"/>
      <c r="G575" s="32"/>
      <c r="H575" s="32"/>
    </row>
    <row r="576" spans="3:8" x14ac:dyDescent="0.3">
      <c r="C576" s="32"/>
      <c r="D576" s="32"/>
      <c r="E576" s="32"/>
      <c r="F576" s="32"/>
      <c r="G576" s="32"/>
      <c r="H576" s="32"/>
    </row>
    <row r="577" spans="3:8" x14ac:dyDescent="0.3">
      <c r="C577" s="32"/>
      <c r="D577" s="32"/>
      <c r="E577" s="32"/>
      <c r="F577" s="32"/>
      <c r="G577" s="32"/>
      <c r="H577" s="32"/>
    </row>
    <row r="578" spans="3:8" x14ac:dyDescent="0.3">
      <c r="C578" s="32"/>
      <c r="D578" s="32"/>
      <c r="E578" s="32"/>
      <c r="F578" s="32"/>
      <c r="G578" s="32"/>
      <c r="H578" s="32"/>
    </row>
    <row r="579" spans="3:8" x14ac:dyDescent="0.3">
      <c r="C579" s="32"/>
      <c r="D579" s="32"/>
      <c r="E579" s="32"/>
      <c r="F579" s="32"/>
      <c r="G579" s="32"/>
      <c r="H579" s="32"/>
    </row>
    <row r="580" spans="3:8" x14ac:dyDescent="0.3">
      <c r="C580" s="32"/>
      <c r="D580" s="32"/>
      <c r="E580" s="32"/>
      <c r="F580" s="32"/>
      <c r="G580" s="32"/>
      <c r="H580" s="32"/>
    </row>
    <row r="581" spans="3:8" x14ac:dyDescent="0.3">
      <c r="C581" s="32"/>
      <c r="D581" s="32"/>
      <c r="E581" s="32"/>
      <c r="F581" s="32"/>
      <c r="G581" s="32"/>
      <c r="H581" s="32"/>
    </row>
    <row r="582" spans="3:8" x14ac:dyDescent="0.3">
      <c r="C582" s="32"/>
      <c r="D582" s="32"/>
      <c r="E582" s="32"/>
      <c r="F582" s="32"/>
      <c r="G582" s="32"/>
      <c r="H582" s="32"/>
    </row>
    <row r="583" spans="3:8" x14ac:dyDescent="0.3">
      <c r="C583" s="32"/>
      <c r="D583" s="32"/>
      <c r="E583" s="32"/>
      <c r="F583" s="32"/>
      <c r="G583" s="32"/>
      <c r="H583" s="32"/>
    </row>
    <row r="584" spans="3:8" x14ac:dyDescent="0.3">
      <c r="C584" s="32"/>
      <c r="D584" s="32"/>
      <c r="E584" s="32"/>
      <c r="F584" s="32"/>
      <c r="G584" s="32"/>
      <c r="H584" s="32"/>
    </row>
    <row r="585" spans="3:8" x14ac:dyDescent="0.3">
      <c r="C585" s="32"/>
      <c r="D585" s="32"/>
      <c r="E585" s="32"/>
      <c r="F585" s="32"/>
      <c r="G585" s="32"/>
      <c r="H585" s="32"/>
    </row>
    <row r="586" spans="3:8" x14ac:dyDescent="0.3">
      <c r="C586" s="32"/>
      <c r="D586" s="32"/>
      <c r="E586" s="32"/>
      <c r="F586" s="32"/>
      <c r="G586" s="32"/>
      <c r="H586" s="32"/>
    </row>
    <row r="587" spans="3:8" x14ac:dyDescent="0.3">
      <c r="C587" s="32"/>
      <c r="D587" s="32"/>
      <c r="E587" s="32"/>
      <c r="F587" s="32"/>
      <c r="G587" s="32"/>
      <c r="H587" s="32"/>
    </row>
    <row r="588" spans="3:8" x14ac:dyDescent="0.3">
      <c r="C588" s="32"/>
      <c r="D588" s="32"/>
      <c r="E588" s="32"/>
      <c r="F588" s="32"/>
      <c r="G588" s="32"/>
      <c r="H588" s="32"/>
    </row>
    <row r="589" spans="3:8" x14ac:dyDescent="0.3">
      <c r="C589" s="32"/>
      <c r="D589" s="32"/>
      <c r="E589" s="32"/>
      <c r="F589" s="32"/>
      <c r="G589" s="32"/>
      <c r="H589" s="32"/>
    </row>
    <row r="590" spans="3:8" x14ac:dyDescent="0.3">
      <c r="C590" s="32"/>
      <c r="D590" s="32"/>
      <c r="E590" s="32"/>
      <c r="F590" s="32"/>
      <c r="G590" s="32"/>
      <c r="H590" s="32"/>
    </row>
    <row r="591" spans="3:8" x14ac:dyDescent="0.3">
      <c r="C591" s="32"/>
      <c r="D591" s="32"/>
      <c r="E591" s="32"/>
      <c r="F591" s="32"/>
      <c r="G591" s="32"/>
      <c r="H591" s="32"/>
    </row>
    <row r="592" spans="3:8" x14ac:dyDescent="0.3">
      <c r="C592" s="32"/>
      <c r="D592" s="32"/>
      <c r="E592" s="32"/>
      <c r="F592" s="32"/>
      <c r="G592" s="32"/>
      <c r="H592" s="32"/>
    </row>
    <row r="593" spans="3:8" x14ac:dyDescent="0.3">
      <c r="C593" s="32"/>
      <c r="D593" s="32"/>
      <c r="E593" s="32"/>
      <c r="F593" s="32"/>
      <c r="G593" s="32"/>
      <c r="H593" s="32"/>
    </row>
    <row r="594" spans="3:8" x14ac:dyDescent="0.3">
      <c r="C594" s="32"/>
      <c r="D594" s="32"/>
      <c r="E594" s="32"/>
      <c r="F594" s="32"/>
      <c r="G594" s="32"/>
      <c r="H594" s="32"/>
    </row>
    <row r="595" spans="3:8" x14ac:dyDescent="0.3">
      <c r="C595" s="32"/>
      <c r="D595" s="32"/>
      <c r="E595" s="32"/>
      <c r="F595" s="32"/>
      <c r="G595" s="32"/>
      <c r="H595" s="32"/>
    </row>
    <row r="596" spans="3:8" x14ac:dyDescent="0.3">
      <c r="C596" s="32"/>
      <c r="D596" s="32"/>
      <c r="E596" s="32"/>
      <c r="F596" s="32"/>
      <c r="G596" s="32"/>
      <c r="H596" s="32"/>
    </row>
    <row r="597" spans="3:8" x14ac:dyDescent="0.3">
      <c r="C597" s="32"/>
      <c r="D597" s="32"/>
      <c r="E597" s="32"/>
      <c r="F597" s="32"/>
      <c r="G597" s="32"/>
      <c r="H597" s="32"/>
    </row>
    <row r="598" spans="3:8" x14ac:dyDescent="0.3">
      <c r="C598" s="32"/>
      <c r="D598" s="32"/>
      <c r="E598" s="32"/>
      <c r="F598" s="32"/>
      <c r="G598" s="32"/>
      <c r="H598" s="32"/>
    </row>
    <row r="599" spans="3:8" x14ac:dyDescent="0.3">
      <c r="C599" s="32"/>
      <c r="D599" s="32"/>
      <c r="E599" s="32"/>
      <c r="F599" s="32"/>
      <c r="G599" s="32"/>
      <c r="H599" s="32"/>
    </row>
    <row r="600" spans="3:8" x14ac:dyDescent="0.3">
      <c r="C600" s="32"/>
      <c r="D600" s="32"/>
      <c r="E600" s="32"/>
      <c r="F600" s="32"/>
      <c r="G600" s="32"/>
      <c r="H600" s="32"/>
    </row>
    <row r="601" spans="3:8" x14ac:dyDescent="0.3">
      <c r="C601" s="32"/>
      <c r="D601" s="32"/>
      <c r="E601" s="32"/>
      <c r="F601" s="32"/>
      <c r="G601" s="32"/>
      <c r="H601" s="32"/>
    </row>
    <row r="602" spans="3:8" x14ac:dyDescent="0.3">
      <c r="C602" s="32"/>
      <c r="D602" s="32"/>
      <c r="E602" s="32"/>
      <c r="F602" s="32"/>
      <c r="G602" s="32"/>
      <c r="H602" s="32"/>
    </row>
    <row r="603" spans="3:8" x14ac:dyDescent="0.3">
      <c r="C603" s="32"/>
      <c r="D603" s="32"/>
      <c r="E603" s="32"/>
      <c r="F603" s="32"/>
      <c r="G603" s="32"/>
      <c r="H603" s="32"/>
    </row>
    <row r="604" spans="3:8" x14ac:dyDescent="0.3">
      <c r="C604" s="32"/>
      <c r="D604" s="32"/>
      <c r="E604" s="32"/>
      <c r="F604" s="32"/>
      <c r="G604" s="32"/>
      <c r="H604" s="32"/>
    </row>
    <row r="605" spans="3:8" x14ac:dyDescent="0.3">
      <c r="C605" s="32"/>
      <c r="D605" s="32"/>
      <c r="E605" s="32"/>
      <c r="F605" s="32"/>
      <c r="G605" s="32"/>
      <c r="H605" s="32"/>
    </row>
    <row r="606" spans="3:8" x14ac:dyDescent="0.3">
      <c r="C606" s="32"/>
      <c r="D606" s="32"/>
      <c r="E606" s="32"/>
      <c r="F606" s="32"/>
      <c r="G606" s="32"/>
      <c r="H606" s="32"/>
    </row>
    <row r="607" spans="3:8" x14ac:dyDescent="0.3">
      <c r="C607" s="32"/>
      <c r="D607" s="32"/>
      <c r="E607" s="32"/>
      <c r="F607" s="32"/>
      <c r="G607" s="32"/>
      <c r="H607" s="32"/>
    </row>
    <row r="608" spans="3:8" x14ac:dyDescent="0.3">
      <c r="C608" s="32"/>
      <c r="D608" s="32"/>
      <c r="E608" s="32"/>
      <c r="F608" s="32"/>
      <c r="G608" s="32"/>
      <c r="H608" s="32"/>
    </row>
    <row r="609" spans="3:8" x14ac:dyDescent="0.3">
      <c r="C609" s="32"/>
      <c r="D609" s="32"/>
      <c r="E609" s="32"/>
      <c r="F609" s="32"/>
      <c r="G609" s="32"/>
      <c r="H609" s="32"/>
    </row>
    <row r="610" spans="3:8" x14ac:dyDescent="0.3">
      <c r="C610" s="32"/>
      <c r="D610" s="32"/>
      <c r="E610" s="32"/>
      <c r="F610" s="32"/>
      <c r="G610" s="32"/>
      <c r="H610" s="32"/>
    </row>
    <row r="611" spans="3:8" x14ac:dyDescent="0.3">
      <c r="C611" s="32"/>
      <c r="D611" s="32"/>
      <c r="E611" s="32"/>
      <c r="F611" s="32"/>
      <c r="G611" s="32"/>
      <c r="H611" s="32"/>
    </row>
    <row r="612" spans="3:8" x14ac:dyDescent="0.3">
      <c r="C612" s="32"/>
      <c r="D612" s="32"/>
      <c r="E612" s="32"/>
      <c r="F612" s="32"/>
      <c r="G612" s="32"/>
      <c r="H612" s="32"/>
    </row>
    <row r="613" spans="3:8" x14ac:dyDescent="0.3">
      <c r="C613" s="32"/>
      <c r="D613" s="32"/>
      <c r="E613" s="32"/>
      <c r="F613" s="32"/>
      <c r="G613" s="32"/>
      <c r="H613" s="32"/>
    </row>
    <row r="614" spans="3:8" x14ac:dyDescent="0.3">
      <c r="C614" s="32"/>
      <c r="D614" s="32"/>
      <c r="E614" s="32"/>
      <c r="F614" s="32"/>
      <c r="G614" s="32"/>
      <c r="H614" s="32"/>
    </row>
    <row r="615" spans="3:8" x14ac:dyDescent="0.3">
      <c r="C615" s="32"/>
      <c r="D615" s="32"/>
      <c r="E615" s="32"/>
      <c r="F615" s="32"/>
      <c r="G615" s="32"/>
      <c r="H615" s="32"/>
    </row>
    <row r="616" spans="3:8" x14ac:dyDescent="0.3">
      <c r="C616" s="32"/>
      <c r="D616" s="32"/>
      <c r="E616" s="32"/>
      <c r="F616" s="32"/>
      <c r="G616" s="32"/>
      <c r="H616" s="32"/>
    </row>
    <row r="617" spans="3:8" x14ac:dyDescent="0.3">
      <c r="C617" s="32"/>
      <c r="D617" s="32"/>
      <c r="E617" s="32"/>
      <c r="F617" s="32"/>
      <c r="G617" s="32"/>
      <c r="H617" s="32"/>
    </row>
    <row r="618" spans="3:8" x14ac:dyDescent="0.3">
      <c r="C618" s="32"/>
      <c r="D618" s="32"/>
      <c r="E618" s="32"/>
      <c r="F618" s="32"/>
      <c r="G618" s="32"/>
      <c r="H618" s="32"/>
    </row>
    <row r="619" spans="3:8" x14ac:dyDescent="0.3">
      <c r="C619" s="32"/>
      <c r="D619" s="32"/>
      <c r="E619" s="32"/>
      <c r="F619" s="32"/>
      <c r="G619" s="32"/>
      <c r="H619" s="32"/>
    </row>
    <row r="620" spans="3:8" x14ac:dyDescent="0.3">
      <c r="C620" s="32"/>
      <c r="D620" s="32"/>
      <c r="E620" s="32"/>
      <c r="F620" s="32"/>
      <c r="G620" s="32"/>
      <c r="H620" s="32"/>
    </row>
    <row r="621" spans="3:8" x14ac:dyDescent="0.3">
      <c r="C621" s="32"/>
      <c r="D621" s="32"/>
      <c r="E621" s="32"/>
      <c r="F621" s="32"/>
      <c r="G621" s="32"/>
      <c r="H621" s="32"/>
    </row>
    <row r="622" spans="3:8" x14ac:dyDescent="0.3">
      <c r="C622" s="32"/>
      <c r="D622" s="32"/>
      <c r="E622" s="32"/>
      <c r="F622" s="32"/>
      <c r="G622" s="32"/>
      <c r="H622" s="32"/>
    </row>
    <row r="623" spans="3:8" x14ac:dyDescent="0.3">
      <c r="C623" s="32"/>
      <c r="D623" s="32"/>
      <c r="E623" s="32"/>
      <c r="F623" s="32"/>
      <c r="G623" s="32"/>
      <c r="H623" s="32"/>
    </row>
    <row r="624" spans="3:8" x14ac:dyDescent="0.3">
      <c r="C624" s="32"/>
      <c r="D624" s="32"/>
      <c r="E624" s="32"/>
      <c r="F624" s="32"/>
      <c r="G624" s="32"/>
      <c r="H624" s="32"/>
    </row>
    <row r="625" spans="3:8" x14ac:dyDescent="0.3">
      <c r="C625" s="32"/>
      <c r="D625" s="32"/>
      <c r="E625" s="32"/>
      <c r="F625" s="32"/>
      <c r="G625" s="32"/>
      <c r="H625" s="32"/>
    </row>
    <row r="626" spans="3:8" x14ac:dyDescent="0.3">
      <c r="C626" s="32"/>
      <c r="D626" s="32"/>
      <c r="E626" s="32"/>
      <c r="F626" s="32"/>
      <c r="G626" s="32"/>
      <c r="H626" s="32"/>
    </row>
    <row r="627" spans="3:8" x14ac:dyDescent="0.3">
      <c r="C627" s="32"/>
      <c r="D627" s="32"/>
      <c r="E627" s="32"/>
      <c r="F627" s="32"/>
      <c r="G627" s="32"/>
      <c r="H627" s="32"/>
    </row>
    <row r="628" spans="3:8" x14ac:dyDescent="0.3">
      <c r="C628" s="32"/>
      <c r="D628" s="32"/>
      <c r="E628" s="32"/>
      <c r="F628" s="32"/>
      <c r="G628" s="32"/>
      <c r="H628" s="32"/>
    </row>
    <row r="629" spans="3:8" x14ac:dyDescent="0.3">
      <c r="C629" s="32"/>
      <c r="D629" s="32"/>
      <c r="E629" s="32"/>
      <c r="F629" s="32"/>
      <c r="G629" s="32"/>
      <c r="H629" s="32"/>
    </row>
    <row r="630" spans="3:8" x14ac:dyDescent="0.3">
      <c r="C630" s="32"/>
      <c r="D630" s="32"/>
      <c r="E630" s="32"/>
      <c r="F630" s="32"/>
      <c r="G630" s="32"/>
      <c r="H630" s="32"/>
    </row>
    <row r="631" spans="3:8" x14ac:dyDescent="0.3">
      <c r="C631" s="32"/>
      <c r="D631" s="32"/>
      <c r="E631" s="32"/>
      <c r="F631" s="32"/>
      <c r="G631" s="32"/>
      <c r="H631" s="32"/>
    </row>
    <row r="632" spans="3:8" x14ac:dyDescent="0.3">
      <c r="C632" s="32"/>
      <c r="D632" s="32"/>
      <c r="E632" s="32"/>
      <c r="F632" s="32"/>
      <c r="G632" s="32"/>
      <c r="H632" s="32"/>
    </row>
    <row r="633" spans="3:8" x14ac:dyDescent="0.3">
      <c r="C633" s="32"/>
      <c r="D633" s="32"/>
      <c r="E633" s="32"/>
      <c r="F633" s="32"/>
      <c r="G633" s="32"/>
      <c r="H633" s="32"/>
    </row>
    <row r="634" spans="3:8" x14ac:dyDescent="0.3">
      <c r="C634" s="32"/>
      <c r="D634" s="32"/>
      <c r="E634" s="32"/>
      <c r="F634" s="32"/>
      <c r="G634" s="32"/>
      <c r="H634" s="32"/>
    </row>
    <row r="635" spans="3:8" x14ac:dyDescent="0.3">
      <c r="C635" s="32"/>
      <c r="D635" s="32"/>
      <c r="E635" s="32"/>
      <c r="F635" s="32"/>
      <c r="G635" s="32"/>
      <c r="H635" s="32"/>
    </row>
    <row r="636" spans="3:8" x14ac:dyDescent="0.3">
      <c r="C636" s="32"/>
      <c r="D636" s="32"/>
      <c r="E636" s="32"/>
      <c r="F636" s="32"/>
      <c r="G636" s="32"/>
      <c r="H636" s="32"/>
    </row>
    <row r="637" spans="3:8" x14ac:dyDescent="0.3">
      <c r="C637" s="32"/>
      <c r="D637" s="32"/>
      <c r="E637" s="32"/>
      <c r="F637" s="32"/>
      <c r="G637" s="32"/>
      <c r="H637" s="32"/>
    </row>
    <row r="638" spans="3:8" x14ac:dyDescent="0.3">
      <c r="C638" s="32"/>
      <c r="D638" s="32"/>
      <c r="E638" s="32"/>
      <c r="F638" s="32"/>
      <c r="G638" s="32"/>
      <c r="H638" s="32"/>
    </row>
    <row r="639" spans="3:8" x14ac:dyDescent="0.3">
      <c r="C639" s="32"/>
      <c r="D639" s="32"/>
      <c r="E639" s="32"/>
      <c r="F639" s="32"/>
      <c r="G639" s="32"/>
      <c r="H639" s="32"/>
    </row>
    <row r="640" spans="3:8" x14ac:dyDescent="0.3">
      <c r="C640" s="32"/>
      <c r="D640" s="32"/>
      <c r="E640" s="32"/>
      <c r="F640" s="32"/>
      <c r="G640" s="32"/>
      <c r="H640" s="32"/>
    </row>
    <row r="641" spans="3:8" x14ac:dyDescent="0.3">
      <c r="C641" s="32"/>
      <c r="D641" s="32"/>
      <c r="E641" s="32"/>
      <c r="F641" s="32"/>
      <c r="G641" s="32"/>
      <c r="H641" s="32"/>
    </row>
    <row r="642" spans="3:8" x14ac:dyDescent="0.3">
      <c r="C642" s="32"/>
      <c r="D642" s="32"/>
      <c r="E642" s="32"/>
      <c r="F642" s="32"/>
      <c r="G642" s="32"/>
      <c r="H642" s="32"/>
    </row>
    <row r="643" spans="3:8" x14ac:dyDescent="0.3">
      <c r="C643" s="32"/>
      <c r="D643" s="32"/>
      <c r="E643" s="32"/>
      <c r="F643" s="32"/>
      <c r="G643" s="32"/>
      <c r="H643" s="32"/>
    </row>
    <row r="644" spans="3:8" x14ac:dyDescent="0.3">
      <c r="C644" s="32"/>
      <c r="D644" s="32"/>
      <c r="E644" s="32"/>
      <c r="F644" s="32"/>
      <c r="G644" s="32"/>
      <c r="H644" s="32"/>
    </row>
    <row r="645" spans="3:8" x14ac:dyDescent="0.3">
      <c r="C645" s="32"/>
      <c r="D645" s="32"/>
      <c r="E645" s="32"/>
      <c r="F645" s="32"/>
      <c r="G645" s="32"/>
      <c r="H645" s="32"/>
    </row>
    <row r="646" spans="3:8" x14ac:dyDescent="0.3">
      <c r="C646" s="32"/>
      <c r="D646" s="32"/>
      <c r="E646" s="32"/>
      <c r="F646" s="32"/>
      <c r="G646" s="32"/>
      <c r="H646" s="32"/>
    </row>
    <row r="647" spans="3:8" x14ac:dyDescent="0.3">
      <c r="C647" s="32"/>
      <c r="D647" s="32"/>
      <c r="E647" s="32"/>
      <c r="F647" s="32"/>
      <c r="G647" s="32"/>
      <c r="H647" s="32"/>
    </row>
    <row r="648" spans="3:8" x14ac:dyDescent="0.3">
      <c r="C648" s="32"/>
      <c r="D648" s="32"/>
      <c r="E648" s="32"/>
      <c r="F648" s="32"/>
      <c r="G648" s="32"/>
      <c r="H648" s="32"/>
    </row>
    <row r="649" spans="3:8" x14ac:dyDescent="0.3">
      <c r="C649" s="32"/>
      <c r="D649" s="32"/>
      <c r="E649" s="32"/>
      <c r="F649" s="32"/>
      <c r="G649" s="32"/>
      <c r="H649" s="32"/>
    </row>
    <row r="650" spans="3:8" x14ac:dyDescent="0.3">
      <c r="C650" s="32"/>
      <c r="D650" s="32"/>
      <c r="E650" s="32"/>
      <c r="F650" s="32"/>
      <c r="G650" s="32"/>
      <c r="H650" s="32"/>
    </row>
    <row r="651" spans="3:8" x14ac:dyDescent="0.3">
      <c r="C651" s="32"/>
      <c r="D651" s="32"/>
      <c r="E651" s="32"/>
      <c r="F651" s="32"/>
      <c r="G651" s="32"/>
      <c r="H651" s="32"/>
    </row>
    <row r="652" spans="3:8" x14ac:dyDescent="0.3">
      <c r="C652" s="32"/>
      <c r="D652" s="32"/>
      <c r="E652" s="32"/>
      <c r="F652" s="32"/>
      <c r="G652" s="32"/>
      <c r="H652" s="32"/>
    </row>
    <row r="653" spans="3:8" x14ac:dyDescent="0.3">
      <c r="C653" s="32"/>
      <c r="D653" s="32"/>
      <c r="E653" s="32"/>
      <c r="F653" s="32"/>
      <c r="G653" s="32"/>
      <c r="H653" s="32"/>
    </row>
    <row r="654" spans="3:8" x14ac:dyDescent="0.3">
      <c r="C654" s="32"/>
      <c r="D654" s="32"/>
      <c r="E654" s="32"/>
      <c r="F654" s="32"/>
      <c r="G654" s="32"/>
      <c r="H654" s="32"/>
    </row>
    <row r="655" spans="3:8" x14ac:dyDescent="0.3">
      <c r="C655" s="32"/>
      <c r="D655" s="32"/>
      <c r="E655" s="32"/>
      <c r="F655" s="32"/>
      <c r="G655" s="32"/>
      <c r="H655" s="32"/>
    </row>
    <row r="656" spans="3:8" x14ac:dyDescent="0.3">
      <c r="C656" s="32"/>
      <c r="D656" s="32"/>
      <c r="E656" s="32"/>
      <c r="F656" s="32"/>
      <c r="G656" s="32"/>
      <c r="H656" s="32"/>
    </row>
    <row r="657" spans="3:8" x14ac:dyDescent="0.3">
      <c r="C657" s="32"/>
      <c r="D657" s="32"/>
      <c r="E657" s="32"/>
      <c r="F657" s="32"/>
      <c r="G657" s="32"/>
      <c r="H657" s="32"/>
    </row>
    <row r="658" spans="3:8" x14ac:dyDescent="0.3">
      <c r="C658" s="32"/>
      <c r="D658" s="32"/>
      <c r="E658" s="32"/>
      <c r="F658" s="32"/>
      <c r="G658" s="32"/>
      <c r="H658" s="32"/>
    </row>
    <row r="659" spans="3:8" x14ac:dyDescent="0.3">
      <c r="C659" s="32"/>
      <c r="D659" s="32"/>
      <c r="E659" s="32"/>
      <c r="F659" s="32"/>
      <c r="G659" s="32"/>
      <c r="H659" s="32"/>
    </row>
    <row r="660" spans="3:8" x14ac:dyDescent="0.3">
      <c r="C660" s="32"/>
      <c r="D660" s="32"/>
      <c r="E660" s="32"/>
      <c r="F660" s="32"/>
      <c r="G660" s="32"/>
      <c r="H660" s="32"/>
    </row>
    <row r="661" spans="3:8" x14ac:dyDescent="0.3">
      <c r="C661" s="32"/>
      <c r="D661" s="32"/>
      <c r="E661" s="32"/>
      <c r="F661" s="32"/>
      <c r="G661" s="32"/>
      <c r="H661" s="32"/>
    </row>
    <row r="662" spans="3:8" x14ac:dyDescent="0.3">
      <c r="C662" s="32"/>
      <c r="D662" s="32"/>
      <c r="E662" s="32"/>
      <c r="F662" s="32"/>
      <c r="G662" s="32"/>
      <c r="H662" s="32"/>
    </row>
    <row r="663" spans="3:8" x14ac:dyDescent="0.3">
      <c r="C663" s="32"/>
      <c r="D663" s="32"/>
      <c r="E663" s="32"/>
      <c r="F663" s="32"/>
      <c r="G663" s="32"/>
      <c r="H663" s="32"/>
    </row>
    <row r="664" spans="3:8" x14ac:dyDescent="0.3">
      <c r="C664" s="32"/>
      <c r="D664" s="32"/>
      <c r="E664" s="32"/>
      <c r="F664" s="32"/>
      <c r="G664" s="32"/>
      <c r="H664" s="32"/>
    </row>
    <row r="665" spans="3:8" x14ac:dyDescent="0.3">
      <c r="C665" s="32"/>
      <c r="D665" s="32"/>
      <c r="E665" s="32"/>
      <c r="F665" s="32"/>
      <c r="G665" s="32"/>
      <c r="H665" s="32"/>
    </row>
    <row r="666" spans="3:8" x14ac:dyDescent="0.3">
      <c r="C666" s="32"/>
      <c r="D666" s="32"/>
      <c r="E666" s="32"/>
      <c r="F666" s="32"/>
      <c r="G666" s="32"/>
      <c r="H666" s="32"/>
    </row>
    <row r="667" spans="3:8" x14ac:dyDescent="0.3">
      <c r="C667" s="32"/>
      <c r="D667" s="32"/>
      <c r="E667" s="32"/>
      <c r="F667" s="32"/>
      <c r="G667" s="32"/>
      <c r="H667" s="32"/>
    </row>
    <row r="668" spans="3:8" x14ac:dyDescent="0.3">
      <c r="C668" s="32"/>
      <c r="D668" s="32"/>
      <c r="E668" s="32"/>
      <c r="F668" s="32"/>
      <c r="G668" s="32"/>
      <c r="H668" s="32"/>
    </row>
    <row r="669" spans="3:8" x14ac:dyDescent="0.3">
      <c r="C669" s="32"/>
      <c r="D669" s="32"/>
      <c r="E669" s="32"/>
      <c r="F669" s="32"/>
      <c r="G669" s="32"/>
      <c r="H669" s="32"/>
    </row>
    <row r="670" spans="3:8" x14ac:dyDescent="0.3">
      <c r="C670" s="32"/>
      <c r="D670" s="32"/>
      <c r="E670" s="32"/>
      <c r="F670" s="32"/>
      <c r="G670" s="32"/>
      <c r="H670" s="32"/>
    </row>
    <row r="671" spans="3:8" x14ac:dyDescent="0.3">
      <c r="C671" s="32"/>
      <c r="D671" s="32"/>
      <c r="E671" s="32"/>
      <c r="F671" s="32"/>
      <c r="G671" s="32"/>
      <c r="H671" s="32"/>
    </row>
    <row r="672" spans="3:8" x14ac:dyDescent="0.3">
      <c r="C672" s="32"/>
      <c r="D672" s="32"/>
      <c r="E672" s="32"/>
      <c r="F672" s="32"/>
      <c r="G672" s="32"/>
      <c r="H672" s="32"/>
    </row>
    <row r="673" spans="3:8" x14ac:dyDescent="0.3">
      <c r="C673" s="32"/>
      <c r="D673" s="32"/>
      <c r="E673" s="32"/>
      <c r="F673" s="32"/>
      <c r="G673" s="32"/>
      <c r="H673" s="32"/>
    </row>
    <row r="674" spans="3:8" x14ac:dyDescent="0.3">
      <c r="C674" s="32"/>
      <c r="D674" s="32"/>
      <c r="E674" s="32"/>
      <c r="F674" s="32"/>
      <c r="G674" s="32"/>
      <c r="H674" s="32"/>
    </row>
    <row r="675" spans="3:8" x14ac:dyDescent="0.3">
      <c r="C675" s="32"/>
      <c r="D675" s="32"/>
      <c r="E675" s="32"/>
      <c r="F675" s="32"/>
      <c r="G675" s="32"/>
      <c r="H675" s="32"/>
    </row>
    <row r="676" spans="3:8" x14ac:dyDescent="0.3">
      <c r="C676" s="32"/>
      <c r="D676" s="32"/>
      <c r="E676" s="32"/>
      <c r="F676" s="32"/>
      <c r="G676" s="32"/>
      <c r="H676" s="32"/>
    </row>
    <row r="677" spans="3:8" x14ac:dyDescent="0.3">
      <c r="C677" s="32"/>
      <c r="D677" s="32"/>
      <c r="E677" s="32"/>
      <c r="F677" s="32"/>
      <c r="G677" s="32"/>
      <c r="H677" s="32"/>
    </row>
    <row r="678" spans="3:8" x14ac:dyDescent="0.3">
      <c r="C678" s="32"/>
      <c r="D678" s="32"/>
      <c r="E678" s="32"/>
      <c r="F678" s="32"/>
      <c r="G678" s="32"/>
      <c r="H678" s="32"/>
    </row>
    <row r="679" spans="3:8" x14ac:dyDescent="0.3">
      <c r="C679" s="32"/>
      <c r="D679" s="32"/>
      <c r="E679" s="32"/>
      <c r="F679" s="32"/>
      <c r="G679" s="32"/>
      <c r="H679" s="32"/>
    </row>
    <row r="680" spans="3:8" x14ac:dyDescent="0.3">
      <c r="C680" s="32"/>
      <c r="D680" s="32"/>
      <c r="E680" s="32"/>
      <c r="F680" s="32"/>
      <c r="G680" s="32"/>
      <c r="H680" s="32"/>
    </row>
    <row r="681" spans="3:8" x14ac:dyDescent="0.3">
      <c r="C681" s="32"/>
      <c r="D681" s="32"/>
      <c r="E681" s="32"/>
      <c r="F681" s="32"/>
      <c r="G681" s="32"/>
      <c r="H681" s="32"/>
    </row>
    <row r="682" spans="3:8" x14ac:dyDescent="0.3">
      <c r="C682" s="32"/>
      <c r="D682" s="32"/>
      <c r="E682" s="32"/>
      <c r="F682" s="32"/>
      <c r="G682" s="32"/>
      <c r="H682" s="32"/>
    </row>
    <row r="683" spans="3:8" x14ac:dyDescent="0.3">
      <c r="C683" s="32"/>
      <c r="D683" s="32"/>
      <c r="E683" s="32"/>
      <c r="F683" s="32"/>
      <c r="G683" s="32"/>
      <c r="H683" s="32"/>
    </row>
    <row r="684" spans="3:8" x14ac:dyDescent="0.3">
      <c r="C684" s="32"/>
      <c r="D684" s="32"/>
      <c r="E684" s="32"/>
      <c r="F684" s="32"/>
      <c r="G684" s="32"/>
      <c r="H684" s="32"/>
    </row>
    <row r="685" spans="3:8" x14ac:dyDescent="0.3">
      <c r="C685" s="32"/>
      <c r="D685" s="32"/>
      <c r="E685" s="32"/>
      <c r="F685" s="32"/>
      <c r="G685" s="32"/>
      <c r="H685" s="32"/>
    </row>
    <row r="686" spans="3:8" x14ac:dyDescent="0.3">
      <c r="C686" s="32"/>
      <c r="D686" s="32"/>
      <c r="E686" s="32"/>
      <c r="F686" s="32"/>
      <c r="G686" s="32"/>
      <c r="H686" s="32"/>
    </row>
    <row r="687" spans="3:8" x14ac:dyDescent="0.3">
      <c r="C687" s="32"/>
      <c r="D687" s="32"/>
      <c r="E687" s="32"/>
      <c r="F687" s="32"/>
      <c r="G687" s="32"/>
      <c r="H687" s="32"/>
    </row>
    <row r="688" spans="3:8" x14ac:dyDescent="0.3">
      <c r="C688" s="32"/>
      <c r="D688" s="32"/>
      <c r="E688" s="32"/>
      <c r="F688" s="32"/>
      <c r="G688" s="32"/>
      <c r="H688" s="32"/>
    </row>
    <row r="689" spans="3:8" x14ac:dyDescent="0.3">
      <c r="C689" s="32"/>
      <c r="D689" s="32"/>
      <c r="E689" s="32"/>
      <c r="F689" s="32"/>
      <c r="G689" s="32"/>
      <c r="H689" s="32"/>
    </row>
    <row r="690" spans="3:8" x14ac:dyDescent="0.3">
      <c r="C690" s="32"/>
      <c r="D690" s="32"/>
      <c r="E690" s="32"/>
      <c r="F690" s="32"/>
      <c r="G690" s="32"/>
      <c r="H690" s="32"/>
    </row>
    <row r="691" spans="3:8" x14ac:dyDescent="0.3">
      <c r="C691" s="32"/>
      <c r="D691" s="32"/>
      <c r="E691" s="32"/>
      <c r="F691" s="32"/>
      <c r="G691" s="32"/>
      <c r="H691" s="32"/>
    </row>
    <row r="692" spans="3:8" x14ac:dyDescent="0.3">
      <c r="C692" s="32"/>
      <c r="D692" s="32"/>
      <c r="E692" s="32"/>
      <c r="F692" s="32"/>
      <c r="G692" s="32"/>
      <c r="H692" s="32"/>
    </row>
    <row r="693" spans="3:8" x14ac:dyDescent="0.3">
      <c r="C693" s="32"/>
      <c r="D693" s="32"/>
      <c r="E693" s="32"/>
      <c r="F693" s="32"/>
      <c r="G693" s="32"/>
      <c r="H693" s="32"/>
    </row>
    <row r="694" spans="3:8" x14ac:dyDescent="0.3">
      <c r="C694" s="32"/>
      <c r="D694" s="32"/>
      <c r="E694" s="32"/>
      <c r="F694" s="32"/>
      <c r="G694" s="32"/>
      <c r="H694" s="32"/>
    </row>
    <row r="695" spans="3:8" x14ac:dyDescent="0.3">
      <c r="C695" s="32"/>
      <c r="D695" s="32"/>
      <c r="E695" s="32"/>
      <c r="F695" s="32"/>
      <c r="G695" s="32"/>
      <c r="H695" s="32"/>
    </row>
    <row r="696" spans="3:8" x14ac:dyDescent="0.3">
      <c r="C696" s="32"/>
      <c r="D696" s="32"/>
      <c r="E696" s="32"/>
      <c r="F696" s="32"/>
      <c r="G696" s="32"/>
      <c r="H696" s="32"/>
    </row>
    <row r="697" spans="3:8" x14ac:dyDescent="0.3">
      <c r="C697" s="32"/>
      <c r="D697" s="32"/>
      <c r="E697" s="32"/>
      <c r="F697" s="32"/>
      <c r="G697" s="32"/>
      <c r="H697" s="32"/>
    </row>
    <row r="698" spans="3:8" x14ac:dyDescent="0.3">
      <c r="C698" s="32"/>
      <c r="D698" s="32"/>
      <c r="E698" s="32"/>
      <c r="F698" s="32"/>
      <c r="G698" s="32"/>
      <c r="H698" s="32"/>
    </row>
    <row r="699" spans="3:8" x14ac:dyDescent="0.3">
      <c r="C699" s="32"/>
      <c r="D699" s="32"/>
      <c r="E699" s="32"/>
      <c r="F699" s="32"/>
      <c r="G699" s="32"/>
      <c r="H699" s="32"/>
    </row>
    <row r="700" spans="3:8" x14ac:dyDescent="0.3">
      <c r="C700" s="32"/>
      <c r="D700" s="32"/>
      <c r="E700" s="32"/>
      <c r="F700" s="32"/>
      <c r="G700" s="32"/>
      <c r="H700" s="32"/>
    </row>
    <row r="701" spans="3:8" x14ac:dyDescent="0.3">
      <c r="C701" s="32"/>
      <c r="D701" s="32"/>
      <c r="E701" s="32"/>
      <c r="F701" s="32"/>
      <c r="G701" s="32"/>
      <c r="H701" s="32"/>
    </row>
    <row r="702" spans="3:8" x14ac:dyDescent="0.3">
      <c r="C702" s="32"/>
      <c r="D702" s="32"/>
      <c r="E702" s="32"/>
      <c r="F702" s="32"/>
      <c r="G702" s="32"/>
      <c r="H702" s="32"/>
    </row>
    <row r="703" spans="3:8" x14ac:dyDescent="0.3">
      <c r="C703" s="32"/>
      <c r="D703" s="32"/>
      <c r="E703" s="32"/>
      <c r="F703" s="32"/>
      <c r="G703" s="32"/>
      <c r="H703" s="32"/>
    </row>
    <row r="704" spans="3:8" x14ac:dyDescent="0.3">
      <c r="C704" s="32"/>
      <c r="D704" s="32"/>
      <c r="E704" s="32"/>
      <c r="F704" s="32"/>
      <c r="G704" s="32"/>
      <c r="H704" s="32"/>
    </row>
    <row r="705" spans="3:8" x14ac:dyDescent="0.3">
      <c r="C705" s="32"/>
      <c r="D705" s="32"/>
      <c r="E705" s="32"/>
      <c r="F705" s="32"/>
      <c r="G705" s="32"/>
      <c r="H705" s="32"/>
    </row>
    <row r="706" spans="3:8" x14ac:dyDescent="0.3">
      <c r="C706" s="32"/>
      <c r="D706" s="32"/>
      <c r="E706" s="32"/>
      <c r="F706" s="32"/>
      <c r="G706" s="32"/>
      <c r="H706" s="32"/>
    </row>
    <row r="707" spans="3:8" x14ac:dyDescent="0.3">
      <c r="C707" s="32"/>
      <c r="D707" s="32"/>
      <c r="E707" s="32"/>
      <c r="F707" s="32"/>
      <c r="G707" s="32"/>
      <c r="H707" s="32"/>
    </row>
    <row r="708" spans="3:8" x14ac:dyDescent="0.3">
      <c r="C708" s="32"/>
      <c r="D708" s="32"/>
      <c r="E708" s="32"/>
      <c r="F708" s="32"/>
      <c r="G708" s="32"/>
      <c r="H708" s="32"/>
    </row>
    <row r="709" spans="3:8" x14ac:dyDescent="0.3">
      <c r="C709" s="32"/>
      <c r="D709" s="32"/>
      <c r="E709" s="32"/>
      <c r="F709" s="32"/>
      <c r="G709" s="32"/>
      <c r="H709" s="32"/>
    </row>
    <row r="710" spans="3:8" x14ac:dyDescent="0.3">
      <c r="C710" s="32"/>
      <c r="D710" s="32"/>
      <c r="E710" s="32"/>
      <c r="F710" s="32"/>
      <c r="G710" s="32"/>
      <c r="H710" s="32"/>
    </row>
    <row r="711" spans="3:8" x14ac:dyDescent="0.3">
      <c r="C711" s="32"/>
      <c r="D711" s="32"/>
      <c r="E711" s="32"/>
      <c r="F711" s="32"/>
      <c r="G711" s="32"/>
      <c r="H711" s="32"/>
    </row>
    <row r="712" spans="3:8" x14ac:dyDescent="0.3">
      <c r="C712" s="32"/>
      <c r="D712" s="32"/>
      <c r="E712" s="32"/>
      <c r="F712" s="32"/>
      <c r="G712" s="32"/>
      <c r="H712" s="32"/>
    </row>
    <row r="713" spans="3:8" x14ac:dyDescent="0.3">
      <c r="C713" s="32"/>
      <c r="D713" s="32"/>
      <c r="E713" s="32"/>
      <c r="F713" s="32"/>
      <c r="G713" s="32"/>
      <c r="H713" s="32"/>
    </row>
    <row r="714" spans="3:8" x14ac:dyDescent="0.3">
      <c r="C714" s="32"/>
      <c r="D714" s="32"/>
      <c r="E714" s="32"/>
      <c r="F714" s="32"/>
      <c r="G714" s="32"/>
      <c r="H714" s="32"/>
    </row>
    <row r="715" spans="3:8" x14ac:dyDescent="0.3">
      <c r="C715" s="32"/>
      <c r="D715" s="32"/>
      <c r="E715" s="32"/>
      <c r="F715" s="32"/>
      <c r="G715" s="32"/>
      <c r="H715" s="32"/>
    </row>
    <row r="716" spans="3:8" x14ac:dyDescent="0.3">
      <c r="C716" s="32"/>
      <c r="D716" s="32"/>
      <c r="E716" s="32"/>
      <c r="F716" s="32"/>
      <c r="G716" s="32"/>
      <c r="H716" s="32"/>
    </row>
    <row r="717" spans="3:8" x14ac:dyDescent="0.3">
      <c r="C717" s="32"/>
      <c r="D717" s="32"/>
      <c r="E717" s="32"/>
      <c r="F717" s="32"/>
      <c r="G717" s="32"/>
      <c r="H717" s="32"/>
    </row>
    <row r="718" spans="3:8" x14ac:dyDescent="0.3">
      <c r="C718" s="32"/>
      <c r="D718" s="32"/>
      <c r="E718" s="32"/>
      <c r="F718" s="32"/>
      <c r="G718" s="32"/>
      <c r="H718" s="32"/>
    </row>
    <row r="719" spans="3:8" x14ac:dyDescent="0.3">
      <c r="C719" s="32"/>
      <c r="D719" s="32"/>
      <c r="E719" s="32"/>
      <c r="F719" s="32"/>
      <c r="G719" s="32"/>
      <c r="H719" s="32"/>
    </row>
    <row r="720" spans="3:8" x14ac:dyDescent="0.3">
      <c r="C720" s="32"/>
      <c r="D720" s="32"/>
      <c r="E720" s="32"/>
      <c r="F720" s="32"/>
      <c r="G720" s="32"/>
      <c r="H720" s="32"/>
    </row>
    <row r="721" spans="3:8" x14ac:dyDescent="0.3">
      <c r="C721" s="32"/>
      <c r="D721" s="32"/>
      <c r="E721" s="32"/>
      <c r="F721" s="32"/>
      <c r="G721" s="32"/>
      <c r="H721" s="32"/>
    </row>
    <row r="722" spans="3:8" x14ac:dyDescent="0.3">
      <c r="C722" s="32"/>
      <c r="D722" s="32"/>
      <c r="E722" s="32"/>
      <c r="F722" s="32"/>
      <c r="G722" s="32"/>
      <c r="H722" s="32"/>
    </row>
    <row r="723" spans="3:8" x14ac:dyDescent="0.3">
      <c r="C723" s="32"/>
      <c r="D723" s="32"/>
      <c r="E723" s="32"/>
      <c r="F723" s="32"/>
      <c r="G723" s="32"/>
      <c r="H723" s="32"/>
    </row>
    <row r="724" spans="3:8" x14ac:dyDescent="0.3">
      <c r="C724" s="32"/>
      <c r="D724" s="32"/>
      <c r="E724" s="32"/>
      <c r="F724" s="32"/>
      <c r="G724" s="32"/>
      <c r="H724" s="32"/>
    </row>
    <row r="725" spans="3:8" x14ac:dyDescent="0.3">
      <c r="C725" s="32"/>
      <c r="D725" s="32"/>
      <c r="E725" s="32"/>
      <c r="F725" s="32"/>
      <c r="G725" s="32"/>
      <c r="H725" s="32"/>
    </row>
    <row r="726" spans="3:8" x14ac:dyDescent="0.3">
      <c r="C726" s="32"/>
      <c r="D726" s="32"/>
      <c r="E726" s="32"/>
      <c r="F726" s="32"/>
      <c r="G726" s="32"/>
      <c r="H726" s="32"/>
    </row>
    <row r="727" spans="3:8" x14ac:dyDescent="0.3">
      <c r="C727" s="32"/>
      <c r="D727" s="32"/>
      <c r="E727" s="32"/>
      <c r="F727" s="32"/>
      <c r="G727" s="32"/>
      <c r="H727" s="32"/>
    </row>
    <row r="728" spans="3:8" x14ac:dyDescent="0.3">
      <c r="C728" s="32"/>
      <c r="D728" s="32"/>
      <c r="E728" s="32"/>
      <c r="F728" s="32"/>
      <c r="G728" s="32"/>
      <c r="H728" s="32"/>
    </row>
    <row r="729" spans="3:8" x14ac:dyDescent="0.3">
      <c r="C729" s="32"/>
      <c r="D729" s="32"/>
      <c r="E729" s="32"/>
      <c r="F729" s="32"/>
      <c r="G729" s="32"/>
      <c r="H729" s="32"/>
    </row>
    <row r="730" spans="3:8" x14ac:dyDescent="0.3">
      <c r="C730" s="32"/>
      <c r="D730" s="32"/>
      <c r="E730" s="32"/>
      <c r="F730" s="32"/>
      <c r="G730" s="32"/>
      <c r="H730" s="32"/>
    </row>
    <row r="731" spans="3:8" x14ac:dyDescent="0.3">
      <c r="C731" s="32"/>
      <c r="D731" s="32"/>
      <c r="E731" s="32"/>
      <c r="F731" s="32"/>
      <c r="G731" s="32"/>
      <c r="H731" s="32"/>
    </row>
    <row r="732" spans="3:8" x14ac:dyDescent="0.3">
      <c r="C732" s="32"/>
      <c r="D732" s="32"/>
      <c r="E732" s="32"/>
      <c r="F732" s="32"/>
      <c r="G732" s="32"/>
      <c r="H732" s="32"/>
    </row>
    <row r="733" spans="3:8" x14ac:dyDescent="0.3">
      <c r="C733" s="32"/>
      <c r="D733" s="32"/>
      <c r="E733" s="32"/>
      <c r="F733" s="32"/>
      <c r="G733" s="32"/>
      <c r="H733" s="32"/>
    </row>
    <row r="734" spans="3:8" x14ac:dyDescent="0.3">
      <c r="C734" s="32"/>
      <c r="D734" s="32"/>
      <c r="E734" s="32"/>
      <c r="F734" s="32"/>
      <c r="G734" s="32"/>
      <c r="H734" s="32"/>
    </row>
    <row r="735" spans="3:8" x14ac:dyDescent="0.3">
      <c r="C735" s="32"/>
      <c r="D735" s="32"/>
      <c r="E735" s="32"/>
      <c r="F735" s="32"/>
      <c r="G735" s="32"/>
      <c r="H735" s="32"/>
    </row>
    <row r="736" spans="3:8" x14ac:dyDescent="0.3">
      <c r="C736" s="32"/>
      <c r="D736" s="32"/>
      <c r="E736" s="32"/>
      <c r="F736" s="32"/>
      <c r="G736" s="32"/>
      <c r="H736" s="32"/>
    </row>
    <row r="737" spans="3:8" x14ac:dyDescent="0.3">
      <c r="C737" s="32"/>
      <c r="D737" s="32"/>
      <c r="E737" s="32"/>
      <c r="F737" s="32"/>
      <c r="G737" s="32"/>
      <c r="H737" s="32"/>
    </row>
    <row r="738" spans="3:8" x14ac:dyDescent="0.3">
      <c r="C738" s="32"/>
      <c r="D738" s="32"/>
      <c r="E738" s="32"/>
      <c r="F738" s="32"/>
      <c r="G738" s="32"/>
      <c r="H738" s="32"/>
    </row>
    <row r="739" spans="3:8" x14ac:dyDescent="0.3">
      <c r="C739" s="32"/>
      <c r="D739" s="32"/>
      <c r="E739" s="32"/>
      <c r="F739" s="32"/>
      <c r="G739" s="32"/>
      <c r="H739" s="32"/>
    </row>
    <row r="740" spans="3:8" x14ac:dyDescent="0.3">
      <c r="C740" s="32"/>
      <c r="D740" s="32"/>
      <c r="E740" s="32"/>
      <c r="F740" s="32"/>
      <c r="G740" s="32"/>
      <c r="H740" s="32"/>
    </row>
    <row r="741" spans="3:8" x14ac:dyDescent="0.3">
      <c r="C741" s="32"/>
      <c r="D741" s="32"/>
      <c r="E741" s="32"/>
      <c r="F741" s="32"/>
      <c r="G741" s="32"/>
      <c r="H741" s="32"/>
    </row>
    <row r="742" spans="3:8" x14ac:dyDescent="0.3">
      <c r="C742" s="32"/>
      <c r="D742" s="32"/>
      <c r="E742" s="32"/>
      <c r="F742" s="32"/>
      <c r="G742" s="32"/>
      <c r="H742" s="32"/>
    </row>
    <row r="743" spans="3:8" x14ac:dyDescent="0.3">
      <c r="C743" s="32"/>
      <c r="D743" s="32"/>
      <c r="E743" s="32"/>
      <c r="F743" s="32"/>
      <c r="G743" s="32"/>
      <c r="H743" s="32"/>
    </row>
    <row r="744" spans="3:8" x14ac:dyDescent="0.3">
      <c r="C744" s="32"/>
      <c r="D744" s="32"/>
      <c r="E744" s="32"/>
      <c r="F744" s="32"/>
      <c r="G744" s="32"/>
      <c r="H744" s="32"/>
    </row>
    <row r="745" spans="3:8" x14ac:dyDescent="0.3">
      <c r="C745" s="32"/>
      <c r="D745" s="32"/>
      <c r="E745" s="32"/>
      <c r="F745" s="32"/>
      <c r="G745" s="32"/>
      <c r="H745" s="32"/>
    </row>
    <row r="746" spans="3:8" x14ac:dyDescent="0.3">
      <c r="C746" s="32"/>
      <c r="D746" s="32"/>
      <c r="E746" s="32"/>
      <c r="F746" s="32"/>
      <c r="G746" s="32"/>
      <c r="H746" s="32"/>
    </row>
    <row r="747" spans="3:8" x14ac:dyDescent="0.3">
      <c r="C747" s="32"/>
      <c r="D747" s="32"/>
      <c r="E747" s="32"/>
      <c r="F747" s="32"/>
      <c r="G747" s="32"/>
      <c r="H747" s="32"/>
    </row>
    <row r="748" spans="3:8" x14ac:dyDescent="0.3">
      <c r="C748" s="32"/>
      <c r="D748" s="32"/>
      <c r="E748" s="32"/>
      <c r="F748" s="32"/>
      <c r="G748" s="32"/>
      <c r="H748" s="32"/>
    </row>
    <row r="749" spans="3:8" x14ac:dyDescent="0.3">
      <c r="C749" s="32"/>
      <c r="D749" s="32"/>
      <c r="E749" s="32"/>
      <c r="F749" s="32"/>
      <c r="G749" s="32"/>
      <c r="H749" s="32"/>
    </row>
    <row r="750" spans="3:8" x14ac:dyDescent="0.3">
      <c r="C750" s="32"/>
      <c r="D750" s="32"/>
      <c r="E750" s="32"/>
      <c r="F750" s="32"/>
      <c r="G750" s="32"/>
      <c r="H750" s="32"/>
    </row>
    <row r="751" spans="3:8" x14ac:dyDescent="0.3">
      <c r="C751" s="32"/>
      <c r="D751" s="32"/>
      <c r="E751" s="32"/>
      <c r="F751" s="32"/>
      <c r="G751" s="32"/>
      <c r="H751" s="32"/>
    </row>
    <row r="752" spans="3:8" x14ac:dyDescent="0.3">
      <c r="C752" s="32"/>
      <c r="D752" s="32"/>
      <c r="E752" s="32"/>
      <c r="F752" s="32"/>
      <c r="G752" s="32"/>
      <c r="H752" s="32"/>
    </row>
    <row r="753" spans="3:8" x14ac:dyDescent="0.3">
      <c r="C753" s="32"/>
      <c r="D753" s="32"/>
      <c r="E753" s="32"/>
      <c r="F753" s="32"/>
      <c r="G753" s="32"/>
      <c r="H753" s="32"/>
    </row>
    <row r="754" spans="3:8" x14ac:dyDescent="0.3">
      <c r="C754" s="32"/>
      <c r="D754" s="32"/>
      <c r="E754" s="32"/>
      <c r="F754" s="32"/>
      <c r="G754" s="32"/>
      <c r="H754" s="32"/>
    </row>
    <row r="755" spans="3:8" x14ac:dyDescent="0.3">
      <c r="C755" s="32"/>
      <c r="D755" s="32"/>
      <c r="E755" s="32"/>
      <c r="F755" s="32"/>
      <c r="G755" s="32"/>
      <c r="H755" s="32"/>
    </row>
    <row r="756" spans="3:8" x14ac:dyDescent="0.3">
      <c r="C756" s="32"/>
      <c r="D756" s="32"/>
      <c r="E756" s="32"/>
      <c r="F756" s="32"/>
      <c r="G756" s="32"/>
      <c r="H756" s="32"/>
    </row>
    <row r="757" spans="3:8" x14ac:dyDescent="0.3">
      <c r="C757" s="32"/>
      <c r="D757" s="32"/>
      <c r="E757" s="32"/>
      <c r="F757" s="32"/>
      <c r="G757" s="32"/>
      <c r="H757" s="32"/>
    </row>
    <row r="758" spans="3:8" x14ac:dyDescent="0.3">
      <c r="C758" s="32"/>
      <c r="D758" s="32"/>
      <c r="E758" s="32"/>
      <c r="F758" s="32"/>
      <c r="G758" s="32"/>
      <c r="H758" s="32"/>
    </row>
    <row r="759" spans="3:8" x14ac:dyDescent="0.3">
      <c r="C759" s="32"/>
      <c r="D759" s="32"/>
      <c r="E759" s="32"/>
      <c r="F759" s="32"/>
      <c r="G759" s="32"/>
      <c r="H759" s="32"/>
    </row>
    <row r="760" spans="3:8" x14ac:dyDescent="0.3">
      <c r="C760" s="32"/>
      <c r="D760" s="32"/>
      <c r="E760" s="32"/>
      <c r="F760" s="32"/>
      <c r="G760" s="32"/>
      <c r="H760" s="32"/>
    </row>
    <row r="761" spans="3:8" x14ac:dyDescent="0.3">
      <c r="C761" s="32"/>
      <c r="D761" s="32"/>
      <c r="E761" s="32"/>
      <c r="F761" s="32"/>
      <c r="G761" s="32"/>
      <c r="H761" s="32"/>
    </row>
    <row r="762" spans="3:8" x14ac:dyDescent="0.3">
      <c r="C762" s="32"/>
      <c r="D762" s="32"/>
      <c r="E762" s="32"/>
      <c r="F762" s="32"/>
      <c r="G762" s="32"/>
      <c r="H762" s="32"/>
    </row>
    <row r="763" spans="3:8" x14ac:dyDescent="0.3">
      <c r="C763" s="32"/>
      <c r="D763" s="32"/>
      <c r="E763" s="32"/>
      <c r="F763" s="32"/>
      <c r="G763" s="32"/>
      <c r="H763" s="32"/>
    </row>
    <row r="764" spans="3:8" x14ac:dyDescent="0.3">
      <c r="C764" s="32"/>
      <c r="D764" s="32"/>
      <c r="E764" s="32"/>
      <c r="F764" s="32"/>
      <c r="G764" s="32"/>
      <c r="H764" s="32"/>
    </row>
    <row r="765" spans="3:8" x14ac:dyDescent="0.3">
      <c r="C765" s="32"/>
      <c r="D765" s="32"/>
      <c r="E765" s="32"/>
      <c r="F765" s="32"/>
      <c r="G765" s="32"/>
      <c r="H765" s="32"/>
    </row>
    <row r="766" spans="3:8" x14ac:dyDescent="0.3">
      <c r="C766" s="32"/>
      <c r="D766" s="32"/>
      <c r="E766" s="32"/>
      <c r="F766" s="32"/>
      <c r="G766" s="32"/>
      <c r="H766" s="32"/>
    </row>
    <row r="767" spans="3:8" x14ac:dyDescent="0.3">
      <c r="C767" s="32"/>
      <c r="D767" s="32"/>
      <c r="E767" s="32"/>
      <c r="F767" s="32"/>
      <c r="G767" s="32"/>
      <c r="H767" s="32"/>
    </row>
    <row r="768" spans="3:8" x14ac:dyDescent="0.3">
      <c r="C768" s="32"/>
      <c r="D768" s="32"/>
      <c r="E768" s="32"/>
      <c r="F768" s="32"/>
      <c r="G768" s="32"/>
      <c r="H768" s="32"/>
    </row>
    <row r="769" spans="3:8" x14ac:dyDescent="0.3">
      <c r="C769" s="32"/>
      <c r="D769" s="32"/>
      <c r="E769" s="32"/>
      <c r="F769" s="32"/>
      <c r="G769" s="32"/>
      <c r="H769" s="32"/>
    </row>
    <row r="770" spans="3:8" x14ac:dyDescent="0.3">
      <c r="C770" s="32"/>
      <c r="D770" s="32"/>
      <c r="E770" s="32"/>
      <c r="F770" s="32"/>
      <c r="G770" s="32"/>
      <c r="H770" s="32"/>
    </row>
    <row r="771" spans="3:8" x14ac:dyDescent="0.3">
      <c r="C771" s="32"/>
      <c r="D771" s="32"/>
      <c r="E771" s="32"/>
      <c r="F771" s="32"/>
      <c r="G771" s="32"/>
      <c r="H771" s="32"/>
    </row>
    <row r="772" spans="3:8" x14ac:dyDescent="0.3">
      <c r="C772" s="32"/>
      <c r="D772" s="32"/>
      <c r="E772" s="32"/>
      <c r="F772" s="32"/>
      <c r="G772" s="32"/>
      <c r="H772" s="32"/>
    </row>
    <row r="773" spans="3:8" x14ac:dyDescent="0.3">
      <c r="C773" s="32"/>
      <c r="D773" s="32"/>
      <c r="E773" s="32"/>
      <c r="F773" s="32"/>
      <c r="G773" s="32"/>
      <c r="H773" s="32"/>
    </row>
    <row r="774" spans="3:8" x14ac:dyDescent="0.3">
      <c r="C774" s="32"/>
      <c r="D774" s="32"/>
      <c r="E774" s="32"/>
      <c r="F774" s="32"/>
      <c r="G774" s="32"/>
      <c r="H774" s="32"/>
    </row>
    <row r="775" spans="3:8" x14ac:dyDescent="0.3">
      <c r="C775" s="32"/>
      <c r="D775" s="32"/>
      <c r="E775" s="32"/>
      <c r="F775" s="32"/>
      <c r="G775" s="32"/>
      <c r="H775" s="32"/>
    </row>
    <row r="776" spans="3:8" x14ac:dyDescent="0.3">
      <c r="C776" s="32"/>
      <c r="D776" s="32"/>
      <c r="E776" s="32"/>
      <c r="F776" s="32"/>
      <c r="G776" s="32"/>
      <c r="H776" s="32"/>
    </row>
    <row r="777" spans="3:8" x14ac:dyDescent="0.3">
      <c r="C777" s="32"/>
      <c r="D777" s="32"/>
      <c r="E777" s="32"/>
      <c r="F777" s="32"/>
      <c r="G777" s="32"/>
      <c r="H777" s="32"/>
    </row>
    <row r="778" spans="3:8" x14ac:dyDescent="0.3">
      <c r="C778" s="32"/>
      <c r="D778" s="32"/>
      <c r="E778" s="32"/>
      <c r="F778" s="32"/>
      <c r="G778" s="32"/>
      <c r="H778" s="32"/>
    </row>
    <row r="779" spans="3:8" x14ac:dyDescent="0.3">
      <c r="C779" s="32"/>
      <c r="D779" s="32"/>
      <c r="E779" s="32"/>
      <c r="F779" s="32"/>
      <c r="G779" s="32"/>
      <c r="H779" s="32"/>
    </row>
    <row r="780" spans="3:8" x14ac:dyDescent="0.3">
      <c r="C780" s="32"/>
      <c r="D780" s="32"/>
      <c r="E780" s="32"/>
      <c r="F780" s="32"/>
      <c r="G780" s="32"/>
      <c r="H780" s="32"/>
    </row>
    <row r="781" spans="3:8" x14ac:dyDescent="0.3">
      <c r="C781" s="32"/>
      <c r="D781" s="32"/>
      <c r="E781" s="32"/>
      <c r="F781" s="32"/>
      <c r="G781" s="32"/>
      <c r="H781" s="32"/>
    </row>
    <row r="782" spans="3:8" x14ac:dyDescent="0.3">
      <c r="C782" s="32"/>
      <c r="D782" s="32"/>
      <c r="E782" s="32"/>
      <c r="F782" s="32"/>
      <c r="G782" s="32"/>
      <c r="H782" s="32"/>
    </row>
    <row r="783" spans="3:8" x14ac:dyDescent="0.3">
      <c r="C783" s="32"/>
      <c r="D783" s="32"/>
      <c r="E783" s="32"/>
      <c r="F783" s="32"/>
      <c r="G783" s="32"/>
      <c r="H783" s="32"/>
    </row>
    <row r="784" spans="3:8" x14ac:dyDescent="0.3">
      <c r="C784" s="32"/>
      <c r="D784" s="32"/>
      <c r="E784" s="32"/>
      <c r="F784" s="32"/>
      <c r="G784" s="32"/>
      <c r="H784" s="32"/>
    </row>
    <row r="785" spans="3:8" x14ac:dyDescent="0.3">
      <c r="C785" s="32"/>
      <c r="D785" s="32"/>
      <c r="E785" s="32"/>
      <c r="F785" s="32"/>
      <c r="G785" s="32"/>
      <c r="H785" s="32"/>
    </row>
    <row r="786" spans="3:8" x14ac:dyDescent="0.3">
      <c r="C786" s="32"/>
      <c r="D786" s="32"/>
      <c r="E786" s="32"/>
      <c r="F786" s="32"/>
      <c r="G786" s="32"/>
      <c r="H786" s="32"/>
    </row>
    <row r="787" spans="3:8" x14ac:dyDescent="0.3">
      <c r="C787" s="32"/>
      <c r="D787" s="32"/>
      <c r="E787" s="32"/>
      <c r="F787" s="32"/>
      <c r="G787" s="32"/>
      <c r="H787" s="32"/>
    </row>
    <row r="788" spans="3:8" x14ac:dyDescent="0.3">
      <c r="C788" s="32"/>
      <c r="D788" s="32"/>
      <c r="E788" s="32"/>
      <c r="F788" s="32"/>
      <c r="G788" s="32"/>
      <c r="H788" s="32"/>
    </row>
    <row r="789" spans="3:8" x14ac:dyDescent="0.3">
      <c r="C789" s="32"/>
      <c r="D789" s="32"/>
      <c r="E789" s="32"/>
      <c r="F789" s="32"/>
      <c r="G789" s="32"/>
      <c r="H789" s="32"/>
    </row>
    <row r="790" spans="3:8" x14ac:dyDescent="0.3">
      <c r="C790" s="32"/>
      <c r="D790" s="32"/>
      <c r="E790" s="32"/>
      <c r="F790" s="32"/>
      <c r="G790" s="32"/>
      <c r="H790" s="32"/>
    </row>
    <row r="791" spans="3:8" x14ac:dyDescent="0.3">
      <c r="C791" s="32"/>
      <c r="D791" s="32"/>
      <c r="E791" s="32"/>
      <c r="F791" s="32"/>
      <c r="G791" s="32"/>
      <c r="H791" s="32"/>
    </row>
    <row r="792" spans="3:8" x14ac:dyDescent="0.3">
      <c r="C792" s="32"/>
      <c r="D792" s="32"/>
      <c r="E792" s="32"/>
      <c r="F792" s="32"/>
      <c r="G792" s="32"/>
      <c r="H792" s="32"/>
    </row>
    <row r="793" spans="3:8" x14ac:dyDescent="0.3">
      <c r="C793" s="32"/>
      <c r="D793" s="32"/>
      <c r="E793" s="32"/>
      <c r="F793" s="32"/>
      <c r="G793" s="32"/>
      <c r="H793" s="32"/>
    </row>
    <row r="794" spans="3:8" x14ac:dyDescent="0.3">
      <c r="C794" s="32"/>
      <c r="D794" s="32"/>
      <c r="E794" s="32"/>
      <c r="F794" s="32"/>
      <c r="G794" s="32"/>
      <c r="H794" s="32"/>
    </row>
    <row r="795" spans="3:8" x14ac:dyDescent="0.3">
      <c r="C795" s="32"/>
      <c r="D795" s="32"/>
      <c r="E795" s="32"/>
      <c r="F795" s="32"/>
      <c r="G795" s="32"/>
      <c r="H795" s="32"/>
    </row>
    <row r="796" spans="3:8" x14ac:dyDescent="0.3">
      <c r="C796" s="32"/>
      <c r="D796" s="32"/>
      <c r="E796" s="32"/>
      <c r="F796" s="32"/>
      <c r="G796" s="32"/>
      <c r="H796" s="32"/>
    </row>
    <row r="797" spans="3:8" x14ac:dyDescent="0.3">
      <c r="C797" s="32"/>
      <c r="D797" s="32"/>
      <c r="E797" s="32"/>
      <c r="F797" s="32"/>
      <c r="G797" s="32"/>
      <c r="H797" s="32"/>
    </row>
    <row r="798" spans="3:8" x14ac:dyDescent="0.3">
      <c r="C798" s="32"/>
      <c r="D798" s="32"/>
      <c r="E798" s="32"/>
      <c r="F798" s="32"/>
      <c r="G798" s="32"/>
      <c r="H798" s="32"/>
    </row>
    <row r="799" spans="3:8" x14ac:dyDescent="0.3">
      <c r="C799" s="32"/>
      <c r="D799" s="32"/>
      <c r="E799" s="32"/>
      <c r="F799" s="32"/>
      <c r="G799" s="32"/>
      <c r="H799" s="32"/>
    </row>
    <row r="800" spans="3:8" x14ac:dyDescent="0.3">
      <c r="C800" s="32"/>
      <c r="D800" s="32"/>
      <c r="E800" s="32"/>
      <c r="F800" s="32"/>
      <c r="G800" s="32"/>
      <c r="H800" s="32"/>
    </row>
    <row r="801" spans="3:8" x14ac:dyDescent="0.3">
      <c r="C801" s="32"/>
      <c r="D801" s="32"/>
      <c r="E801" s="32"/>
      <c r="F801" s="32"/>
      <c r="G801" s="32"/>
      <c r="H801" s="32"/>
    </row>
    <row r="802" spans="3:8" x14ac:dyDescent="0.3">
      <c r="C802" s="32"/>
      <c r="D802" s="32"/>
      <c r="E802" s="32"/>
      <c r="F802" s="32"/>
      <c r="G802" s="32"/>
      <c r="H802" s="32"/>
    </row>
    <row r="803" spans="3:8" x14ac:dyDescent="0.3">
      <c r="C803" s="32"/>
      <c r="D803" s="32"/>
      <c r="E803" s="32"/>
      <c r="F803" s="32"/>
      <c r="G803" s="32"/>
      <c r="H803" s="32"/>
    </row>
    <row r="804" spans="3:8" x14ac:dyDescent="0.3">
      <c r="C804" s="32"/>
      <c r="D804" s="32"/>
      <c r="E804" s="32"/>
      <c r="F804" s="32"/>
      <c r="G804" s="32"/>
      <c r="H804" s="32"/>
    </row>
    <row r="805" spans="3:8" x14ac:dyDescent="0.3">
      <c r="C805" s="32"/>
      <c r="D805" s="32"/>
      <c r="E805" s="32"/>
      <c r="F805" s="32"/>
      <c r="G805" s="32"/>
      <c r="H805" s="32"/>
    </row>
    <row r="806" spans="3:8" x14ac:dyDescent="0.3">
      <c r="C806" s="32"/>
      <c r="D806" s="32"/>
      <c r="E806" s="32"/>
      <c r="F806" s="32"/>
      <c r="G806" s="32"/>
      <c r="H806" s="32"/>
    </row>
    <row r="807" spans="3:8" x14ac:dyDescent="0.3">
      <c r="C807" s="32"/>
      <c r="D807" s="32"/>
      <c r="E807" s="32"/>
      <c r="F807" s="32"/>
      <c r="G807" s="32"/>
      <c r="H807" s="32"/>
    </row>
    <row r="808" spans="3:8" x14ac:dyDescent="0.3">
      <c r="C808" s="32"/>
      <c r="D808" s="32"/>
      <c r="E808" s="32"/>
      <c r="F808" s="32"/>
      <c r="G808" s="32"/>
      <c r="H808" s="32"/>
    </row>
    <row r="809" spans="3:8" x14ac:dyDescent="0.3">
      <c r="C809" s="32"/>
      <c r="D809" s="32"/>
      <c r="E809" s="32"/>
      <c r="F809" s="32"/>
      <c r="G809" s="32"/>
      <c r="H809" s="32"/>
    </row>
    <row r="810" spans="3:8" x14ac:dyDescent="0.3">
      <c r="C810" s="32"/>
      <c r="D810" s="32"/>
      <c r="E810" s="32"/>
      <c r="F810" s="32"/>
      <c r="G810" s="32"/>
      <c r="H810" s="32"/>
    </row>
    <row r="811" spans="3:8" x14ac:dyDescent="0.3">
      <c r="C811" s="32"/>
      <c r="D811" s="32"/>
      <c r="E811" s="32"/>
      <c r="F811" s="32"/>
      <c r="G811" s="32"/>
      <c r="H811" s="32"/>
    </row>
    <row r="812" spans="3:8" x14ac:dyDescent="0.3">
      <c r="C812" s="32"/>
      <c r="D812" s="32"/>
      <c r="E812" s="32"/>
      <c r="F812" s="32"/>
      <c r="G812" s="32"/>
      <c r="H812" s="32"/>
    </row>
    <row r="813" spans="3:8" x14ac:dyDescent="0.3">
      <c r="C813" s="32"/>
      <c r="D813" s="32"/>
      <c r="E813" s="32"/>
      <c r="F813" s="32"/>
      <c r="G813" s="32"/>
      <c r="H813" s="32"/>
    </row>
    <row r="814" spans="3:8" x14ac:dyDescent="0.3">
      <c r="C814" s="32"/>
      <c r="D814" s="32"/>
      <c r="E814" s="32"/>
      <c r="F814" s="32"/>
      <c r="G814" s="32"/>
      <c r="H814" s="32"/>
    </row>
    <row r="815" spans="3:8" x14ac:dyDescent="0.3">
      <c r="C815" s="32"/>
      <c r="D815" s="32"/>
      <c r="E815" s="32"/>
      <c r="F815" s="32"/>
      <c r="G815" s="32"/>
      <c r="H815" s="32"/>
    </row>
    <row r="816" spans="3:8" x14ac:dyDescent="0.3">
      <c r="C816" s="32"/>
      <c r="D816" s="32"/>
      <c r="E816" s="32"/>
      <c r="F816" s="32"/>
      <c r="G816" s="32"/>
      <c r="H816" s="32"/>
    </row>
    <row r="817" spans="3:8" x14ac:dyDescent="0.3">
      <c r="C817" s="32"/>
      <c r="D817" s="32"/>
      <c r="E817" s="32"/>
      <c r="F817" s="32"/>
      <c r="G817" s="32"/>
      <c r="H817" s="32"/>
    </row>
    <row r="818" spans="3:8" x14ac:dyDescent="0.3">
      <c r="C818" s="32"/>
      <c r="D818" s="32"/>
      <c r="E818" s="32"/>
      <c r="F818" s="32"/>
      <c r="G818" s="32"/>
      <c r="H818" s="32"/>
    </row>
    <row r="819" spans="3:8" x14ac:dyDescent="0.3">
      <c r="C819" s="32"/>
      <c r="D819" s="32"/>
      <c r="E819" s="32"/>
      <c r="F819" s="32"/>
      <c r="G819" s="32"/>
      <c r="H819" s="32"/>
    </row>
    <row r="820" spans="3:8" x14ac:dyDescent="0.3">
      <c r="C820" s="32"/>
      <c r="D820" s="32"/>
      <c r="E820" s="32"/>
      <c r="F820" s="32"/>
      <c r="G820" s="32"/>
      <c r="H820" s="32"/>
    </row>
    <row r="821" spans="3:8" x14ac:dyDescent="0.3">
      <c r="C821" s="32"/>
      <c r="D821" s="32"/>
      <c r="E821" s="32"/>
      <c r="F821" s="32"/>
      <c r="G821" s="32"/>
      <c r="H821" s="32"/>
    </row>
    <row r="822" spans="3:8" x14ac:dyDescent="0.3">
      <c r="C822" s="32"/>
      <c r="D822" s="32"/>
      <c r="E822" s="32"/>
      <c r="F822" s="32"/>
      <c r="G822" s="32"/>
      <c r="H822" s="32"/>
    </row>
    <row r="823" spans="3:8" x14ac:dyDescent="0.3">
      <c r="C823" s="32"/>
      <c r="D823" s="32"/>
      <c r="E823" s="32"/>
      <c r="F823" s="32"/>
      <c r="G823" s="32"/>
      <c r="H823" s="32"/>
    </row>
    <row r="824" spans="3:8" x14ac:dyDescent="0.3">
      <c r="C824" s="32"/>
      <c r="D824" s="32"/>
      <c r="E824" s="32"/>
      <c r="F824" s="32"/>
      <c r="G824" s="32"/>
      <c r="H824" s="32"/>
    </row>
    <row r="825" spans="3:8" x14ac:dyDescent="0.3">
      <c r="C825" s="32"/>
      <c r="D825" s="32"/>
      <c r="E825" s="32"/>
      <c r="F825" s="32"/>
      <c r="G825" s="32"/>
      <c r="H825" s="32"/>
    </row>
    <row r="826" spans="3:8" x14ac:dyDescent="0.3">
      <c r="C826" s="32"/>
      <c r="D826" s="32"/>
      <c r="E826" s="32"/>
      <c r="F826" s="32"/>
      <c r="G826" s="32"/>
      <c r="H826" s="32"/>
    </row>
    <row r="827" spans="3:8" x14ac:dyDescent="0.3">
      <c r="C827" s="32"/>
      <c r="D827" s="32"/>
      <c r="E827" s="32"/>
      <c r="F827" s="32"/>
      <c r="G827" s="32"/>
      <c r="H827" s="32"/>
    </row>
    <row r="828" spans="3:8" x14ac:dyDescent="0.3">
      <c r="C828" s="32"/>
      <c r="D828" s="32"/>
      <c r="E828" s="32"/>
      <c r="F828" s="32"/>
      <c r="G828" s="32"/>
      <c r="H828" s="32"/>
    </row>
    <row r="829" spans="3:8" x14ac:dyDescent="0.3">
      <c r="C829" s="32"/>
      <c r="D829" s="32"/>
      <c r="E829" s="32"/>
      <c r="F829" s="32"/>
      <c r="G829" s="32"/>
      <c r="H829" s="32"/>
    </row>
    <row r="830" spans="3:8" x14ac:dyDescent="0.3">
      <c r="C830" s="32"/>
      <c r="D830" s="32"/>
      <c r="E830" s="32"/>
      <c r="F830" s="32"/>
      <c r="G830" s="32"/>
      <c r="H830" s="32"/>
    </row>
    <row r="831" spans="3:8" x14ac:dyDescent="0.3">
      <c r="C831" s="32"/>
      <c r="D831" s="32"/>
      <c r="E831" s="32"/>
      <c r="F831" s="32"/>
      <c r="G831" s="32"/>
      <c r="H831" s="32"/>
    </row>
    <row r="832" spans="3:8" x14ac:dyDescent="0.3">
      <c r="C832" s="32"/>
      <c r="D832" s="32"/>
      <c r="E832" s="32"/>
      <c r="F832" s="32"/>
      <c r="G832" s="32"/>
      <c r="H832" s="32"/>
    </row>
    <row r="833" spans="3:8" x14ac:dyDescent="0.3">
      <c r="C833" s="32"/>
      <c r="D833" s="32"/>
      <c r="E833" s="32"/>
      <c r="F833" s="32"/>
      <c r="G833" s="32"/>
      <c r="H833" s="32"/>
    </row>
    <row r="834" spans="3:8" x14ac:dyDescent="0.3">
      <c r="C834" s="32"/>
      <c r="D834" s="32"/>
      <c r="E834" s="32"/>
      <c r="F834" s="32"/>
      <c r="G834" s="32"/>
      <c r="H834" s="32"/>
    </row>
    <row r="835" spans="3:8" x14ac:dyDescent="0.3">
      <c r="C835" s="32"/>
      <c r="D835" s="32"/>
      <c r="E835" s="32"/>
      <c r="F835" s="32"/>
      <c r="G835" s="32"/>
      <c r="H835" s="32"/>
    </row>
    <row r="836" spans="3:8" x14ac:dyDescent="0.3">
      <c r="C836" s="32"/>
      <c r="D836" s="32"/>
      <c r="E836" s="32"/>
      <c r="F836" s="32"/>
      <c r="G836" s="32"/>
      <c r="H836" s="32"/>
    </row>
    <row r="837" spans="3:8" x14ac:dyDescent="0.3">
      <c r="C837" s="32"/>
      <c r="D837" s="32"/>
      <c r="E837" s="32"/>
      <c r="F837" s="32"/>
      <c r="G837" s="32"/>
      <c r="H837" s="32"/>
    </row>
    <row r="838" spans="3:8" x14ac:dyDescent="0.3">
      <c r="C838" s="32"/>
      <c r="D838" s="32"/>
      <c r="E838" s="32"/>
      <c r="F838" s="32"/>
      <c r="G838" s="32"/>
      <c r="H838" s="32"/>
    </row>
    <row r="839" spans="3:8" x14ac:dyDescent="0.3">
      <c r="C839" s="32"/>
      <c r="D839" s="32"/>
      <c r="E839" s="32"/>
      <c r="F839" s="32"/>
      <c r="G839" s="32"/>
      <c r="H839" s="32"/>
    </row>
    <row r="840" spans="3:8" x14ac:dyDescent="0.3">
      <c r="C840" s="32"/>
      <c r="D840" s="32"/>
      <c r="E840" s="32"/>
      <c r="F840" s="32"/>
      <c r="G840" s="32"/>
      <c r="H840" s="32"/>
    </row>
    <row r="841" spans="3:8" x14ac:dyDescent="0.3">
      <c r="C841" s="32"/>
      <c r="D841" s="32"/>
      <c r="E841" s="32"/>
      <c r="F841" s="32"/>
      <c r="G841" s="32"/>
      <c r="H841" s="32"/>
    </row>
    <row r="842" spans="3:8" x14ac:dyDescent="0.3">
      <c r="C842" s="32"/>
      <c r="D842" s="32"/>
      <c r="E842" s="32"/>
      <c r="F842" s="32"/>
      <c r="G842" s="32"/>
      <c r="H842" s="32"/>
    </row>
    <row r="843" spans="3:8" x14ac:dyDescent="0.3">
      <c r="C843" s="32"/>
      <c r="D843" s="32"/>
      <c r="E843" s="32"/>
      <c r="F843" s="32"/>
      <c r="G843" s="32"/>
      <c r="H843" s="32"/>
    </row>
    <row r="844" spans="3:8" x14ac:dyDescent="0.3">
      <c r="C844" s="32"/>
      <c r="D844" s="32"/>
      <c r="E844" s="32"/>
      <c r="F844" s="32"/>
      <c r="G844" s="32"/>
      <c r="H844" s="32"/>
    </row>
    <row r="845" spans="3:8" x14ac:dyDescent="0.3">
      <c r="C845" s="32"/>
      <c r="D845" s="32"/>
      <c r="E845" s="32"/>
      <c r="F845" s="32"/>
      <c r="G845" s="32"/>
      <c r="H845" s="32"/>
    </row>
    <row r="846" spans="3:8" x14ac:dyDescent="0.3">
      <c r="C846" s="32"/>
      <c r="D846" s="32"/>
      <c r="E846" s="32"/>
      <c r="F846" s="32"/>
      <c r="G846" s="32"/>
      <c r="H846" s="32"/>
    </row>
    <row r="847" spans="3:8" x14ac:dyDescent="0.3">
      <c r="C847" s="32"/>
      <c r="D847" s="32"/>
      <c r="E847" s="32"/>
      <c r="F847" s="32"/>
      <c r="G847" s="32"/>
      <c r="H847" s="32"/>
    </row>
    <row r="848" spans="3:8" x14ac:dyDescent="0.3">
      <c r="C848" s="32"/>
      <c r="D848" s="32"/>
      <c r="E848" s="32"/>
      <c r="F848" s="32"/>
      <c r="G848" s="32"/>
      <c r="H848" s="32"/>
    </row>
    <row r="849" spans="3:8" x14ac:dyDescent="0.3">
      <c r="C849" s="32"/>
      <c r="D849" s="32"/>
      <c r="E849" s="32"/>
      <c r="F849" s="32"/>
      <c r="G849" s="32"/>
      <c r="H849" s="32"/>
    </row>
    <row r="850" spans="3:8" x14ac:dyDescent="0.3">
      <c r="C850" s="32"/>
      <c r="D850" s="32"/>
      <c r="E850" s="32"/>
      <c r="F850" s="32"/>
      <c r="G850" s="32"/>
      <c r="H850" s="32"/>
    </row>
    <row r="851" spans="3:8" x14ac:dyDescent="0.3">
      <c r="C851" s="32"/>
      <c r="D851" s="32"/>
      <c r="E851" s="32"/>
      <c r="F851" s="32"/>
      <c r="G851" s="32"/>
      <c r="H851" s="32"/>
    </row>
    <row r="852" spans="3:8" x14ac:dyDescent="0.3">
      <c r="C852" s="32"/>
      <c r="D852" s="32"/>
      <c r="E852" s="32"/>
      <c r="F852" s="32"/>
      <c r="G852" s="32"/>
      <c r="H852" s="32"/>
    </row>
    <row r="853" spans="3:8" x14ac:dyDescent="0.3">
      <c r="C853" s="32"/>
      <c r="D853" s="32"/>
      <c r="E853" s="32"/>
      <c r="F853" s="32"/>
      <c r="G853" s="32"/>
      <c r="H853" s="32"/>
    </row>
    <row r="854" spans="3:8" x14ac:dyDescent="0.3">
      <c r="C854" s="32"/>
      <c r="D854" s="32"/>
      <c r="E854" s="32"/>
      <c r="F854" s="32"/>
      <c r="G854" s="32"/>
      <c r="H854" s="32"/>
    </row>
    <row r="855" spans="3:8" x14ac:dyDescent="0.3">
      <c r="C855" s="32"/>
      <c r="D855" s="32"/>
      <c r="E855" s="32"/>
      <c r="F855" s="32"/>
      <c r="G855" s="32"/>
      <c r="H855" s="32"/>
    </row>
    <row r="856" spans="3:8" x14ac:dyDescent="0.3">
      <c r="C856" s="32"/>
      <c r="D856" s="32"/>
      <c r="E856" s="32"/>
      <c r="F856" s="32"/>
      <c r="G856" s="32"/>
      <c r="H856" s="32"/>
    </row>
    <row r="857" spans="3:8" x14ac:dyDescent="0.3">
      <c r="C857" s="32"/>
      <c r="D857" s="32"/>
      <c r="E857" s="32"/>
      <c r="F857" s="32"/>
      <c r="G857" s="32"/>
      <c r="H857" s="32"/>
    </row>
    <row r="858" spans="3:8" x14ac:dyDescent="0.3">
      <c r="C858" s="32"/>
      <c r="D858" s="32"/>
      <c r="E858" s="32"/>
      <c r="F858" s="32"/>
      <c r="G858" s="32"/>
      <c r="H858" s="32"/>
    </row>
    <row r="859" spans="3:8" x14ac:dyDescent="0.3">
      <c r="C859" s="32"/>
      <c r="D859" s="32"/>
      <c r="E859" s="32"/>
      <c r="F859" s="32"/>
      <c r="G859" s="32"/>
      <c r="H859" s="32"/>
    </row>
    <row r="860" spans="3:8" x14ac:dyDescent="0.3">
      <c r="C860" s="32"/>
      <c r="D860" s="32"/>
      <c r="E860" s="32"/>
      <c r="F860" s="32"/>
      <c r="G860" s="32"/>
      <c r="H860" s="32"/>
    </row>
    <row r="861" spans="3:8" x14ac:dyDescent="0.3">
      <c r="C861" s="32"/>
      <c r="D861" s="32"/>
      <c r="E861" s="32"/>
      <c r="F861" s="32"/>
      <c r="G861" s="32"/>
      <c r="H861" s="32"/>
    </row>
    <row r="862" spans="3:8" x14ac:dyDescent="0.3">
      <c r="C862" s="32"/>
      <c r="D862" s="32"/>
      <c r="E862" s="32"/>
      <c r="F862" s="32"/>
      <c r="G862" s="32"/>
      <c r="H862" s="32"/>
    </row>
    <row r="863" spans="3:8" x14ac:dyDescent="0.3">
      <c r="C863" s="32"/>
      <c r="D863" s="32"/>
      <c r="E863" s="32"/>
      <c r="F863" s="32"/>
      <c r="G863" s="32"/>
      <c r="H863" s="32"/>
    </row>
    <row r="864" spans="3:8" x14ac:dyDescent="0.3">
      <c r="C864" s="32"/>
      <c r="D864" s="32"/>
      <c r="E864" s="32"/>
      <c r="F864" s="32"/>
      <c r="G864" s="32"/>
      <c r="H864" s="32"/>
    </row>
    <row r="865" spans="3:8" x14ac:dyDescent="0.3">
      <c r="C865" s="32"/>
      <c r="D865" s="32"/>
      <c r="E865" s="32"/>
      <c r="F865" s="32"/>
      <c r="G865" s="32"/>
      <c r="H865" s="32"/>
    </row>
    <row r="866" spans="3:8" x14ac:dyDescent="0.3">
      <c r="C866" s="32"/>
      <c r="D866" s="32"/>
      <c r="E866" s="32"/>
      <c r="F866" s="32"/>
      <c r="G866" s="32"/>
      <c r="H866" s="32"/>
    </row>
    <row r="867" spans="3:8" x14ac:dyDescent="0.3">
      <c r="C867" s="32"/>
      <c r="D867" s="32"/>
      <c r="E867" s="32"/>
      <c r="F867" s="32"/>
      <c r="G867" s="32"/>
      <c r="H867" s="32"/>
    </row>
    <row r="868" spans="3:8" x14ac:dyDescent="0.3">
      <c r="C868" s="32"/>
      <c r="D868" s="32"/>
      <c r="E868" s="32"/>
      <c r="F868" s="32"/>
      <c r="G868" s="32"/>
      <c r="H868" s="32"/>
    </row>
    <row r="869" spans="3:8" x14ac:dyDescent="0.3">
      <c r="C869" s="32"/>
      <c r="D869" s="32"/>
      <c r="E869" s="32"/>
      <c r="F869" s="32"/>
      <c r="G869" s="32"/>
      <c r="H869" s="32"/>
    </row>
    <row r="870" spans="3:8" x14ac:dyDescent="0.3">
      <c r="C870" s="32"/>
      <c r="D870" s="32"/>
      <c r="E870" s="32"/>
      <c r="F870" s="32"/>
      <c r="G870" s="32"/>
      <c r="H870" s="32"/>
    </row>
    <row r="871" spans="3:8" x14ac:dyDescent="0.3">
      <c r="C871" s="32"/>
      <c r="D871" s="32"/>
      <c r="E871" s="32"/>
      <c r="F871" s="32"/>
      <c r="G871" s="32"/>
      <c r="H871" s="32"/>
    </row>
    <row r="872" spans="3:8" x14ac:dyDescent="0.3">
      <c r="C872" s="32"/>
      <c r="D872" s="32"/>
      <c r="E872" s="32"/>
      <c r="F872" s="32"/>
      <c r="G872" s="32"/>
      <c r="H872" s="32"/>
    </row>
    <row r="873" spans="3:8" x14ac:dyDescent="0.3">
      <c r="C873" s="32"/>
      <c r="D873" s="32"/>
      <c r="E873" s="32"/>
      <c r="F873" s="32"/>
      <c r="G873" s="32"/>
      <c r="H873" s="32"/>
    </row>
    <row r="874" spans="3:8" x14ac:dyDescent="0.3">
      <c r="C874" s="32"/>
      <c r="D874" s="32"/>
      <c r="E874" s="32"/>
      <c r="F874" s="32"/>
      <c r="G874" s="32"/>
      <c r="H874" s="32"/>
    </row>
    <row r="875" spans="3:8" x14ac:dyDescent="0.3">
      <c r="C875" s="32"/>
      <c r="D875" s="32"/>
      <c r="E875" s="32"/>
      <c r="F875" s="32"/>
      <c r="G875" s="32"/>
      <c r="H875" s="32"/>
    </row>
    <row r="876" spans="3:8" x14ac:dyDescent="0.3">
      <c r="C876" s="32"/>
      <c r="D876" s="32"/>
      <c r="E876" s="32"/>
      <c r="F876" s="32"/>
      <c r="G876" s="32"/>
      <c r="H876" s="32"/>
    </row>
    <row r="877" spans="3:8" x14ac:dyDescent="0.3">
      <c r="C877" s="32"/>
      <c r="D877" s="32"/>
      <c r="E877" s="32"/>
      <c r="F877" s="32"/>
      <c r="G877" s="32"/>
      <c r="H877" s="32"/>
    </row>
    <row r="878" spans="3:8" x14ac:dyDescent="0.3">
      <c r="C878" s="32"/>
      <c r="D878" s="32"/>
      <c r="E878" s="32"/>
      <c r="F878" s="32"/>
      <c r="G878" s="32"/>
      <c r="H878" s="32"/>
    </row>
    <row r="879" spans="3:8" x14ac:dyDescent="0.3">
      <c r="C879" s="32"/>
      <c r="D879" s="32"/>
      <c r="E879" s="32"/>
      <c r="F879" s="32"/>
      <c r="G879" s="32"/>
      <c r="H879" s="32"/>
    </row>
    <row r="880" spans="3:8" x14ac:dyDescent="0.3">
      <c r="C880" s="32"/>
      <c r="D880" s="32"/>
      <c r="E880" s="32"/>
      <c r="F880" s="32"/>
      <c r="G880" s="32"/>
      <c r="H880" s="32"/>
    </row>
    <row r="881" spans="3:8" x14ac:dyDescent="0.3">
      <c r="C881" s="32"/>
      <c r="D881" s="32"/>
      <c r="E881" s="32"/>
      <c r="F881" s="32"/>
      <c r="G881" s="32"/>
      <c r="H881" s="32"/>
    </row>
    <row r="882" spans="3:8" x14ac:dyDescent="0.3">
      <c r="C882" s="32"/>
      <c r="D882" s="32"/>
      <c r="E882" s="32"/>
      <c r="F882" s="32"/>
      <c r="G882" s="32"/>
      <c r="H882" s="32"/>
    </row>
    <row r="883" spans="3:8" x14ac:dyDescent="0.3">
      <c r="C883" s="32"/>
      <c r="D883" s="32"/>
      <c r="E883" s="32"/>
      <c r="F883" s="32"/>
      <c r="G883" s="32"/>
      <c r="H883" s="32"/>
    </row>
    <row r="884" spans="3:8" x14ac:dyDescent="0.3">
      <c r="C884" s="32"/>
      <c r="D884" s="32"/>
      <c r="E884" s="32"/>
      <c r="F884" s="32"/>
      <c r="G884" s="32"/>
      <c r="H884" s="32"/>
    </row>
    <row r="885" spans="3:8" x14ac:dyDescent="0.3">
      <c r="C885" s="32"/>
      <c r="D885" s="32"/>
      <c r="E885" s="32"/>
      <c r="F885" s="32"/>
      <c r="G885" s="32"/>
      <c r="H885" s="32"/>
    </row>
    <row r="886" spans="3:8" x14ac:dyDescent="0.3">
      <c r="C886" s="32"/>
      <c r="D886" s="32"/>
      <c r="E886" s="32"/>
      <c r="F886" s="32"/>
      <c r="G886" s="32"/>
      <c r="H886" s="32"/>
    </row>
    <row r="887" spans="3:8" x14ac:dyDescent="0.3">
      <c r="C887" s="32"/>
      <c r="D887" s="32"/>
      <c r="E887" s="32"/>
      <c r="F887" s="32"/>
      <c r="G887" s="32"/>
      <c r="H887" s="32"/>
    </row>
    <row r="888" spans="3:8" x14ac:dyDescent="0.3">
      <c r="C888" s="32"/>
      <c r="D888" s="32"/>
      <c r="E888" s="32"/>
      <c r="F888" s="32"/>
      <c r="G888" s="32"/>
      <c r="H888" s="32"/>
    </row>
    <row r="889" spans="3:8" x14ac:dyDescent="0.3">
      <c r="C889" s="32"/>
      <c r="D889" s="32"/>
      <c r="E889" s="32"/>
      <c r="F889" s="32"/>
      <c r="G889" s="32"/>
      <c r="H889" s="32"/>
    </row>
    <row r="890" spans="3:8" x14ac:dyDescent="0.3">
      <c r="C890" s="32"/>
      <c r="D890" s="32"/>
      <c r="E890" s="32"/>
      <c r="F890" s="32"/>
      <c r="G890" s="32"/>
      <c r="H890" s="32"/>
    </row>
    <row r="891" spans="3:8" x14ac:dyDescent="0.3">
      <c r="C891" s="32"/>
      <c r="D891" s="32"/>
      <c r="E891" s="32"/>
      <c r="F891" s="32"/>
      <c r="G891" s="32"/>
      <c r="H891" s="32"/>
    </row>
    <row r="892" spans="3:8" x14ac:dyDescent="0.3">
      <c r="C892" s="32"/>
      <c r="D892" s="32"/>
      <c r="E892" s="32"/>
      <c r="F892" s="32"/>
      <c r="G892" s="32"/>
      <c r="H892" s="32"/>
    </row>
    <row r="893" spans="3:8" x14ac:dyDescent="0.3">
      <c r="C893" s="32"/>
      <c r="D893" s="32"/>
      <c r="E893" s="32"/>
      <c r="F893" s="32"/>
      <c r="G893" s="32"/>
      <c r="H893" s="32"/>
    </row>
    <row r="894" spans="3:8" x14ac:dyDescent="0.3">
      <c r="C894" s="32"/>
      <c r="D894" s="32"/>
      <c r="E894" s="32"/>
      <c r="F894" s="32"/>
      <c r="G894" s="32"/>
      <c r="H894" s="32"/>
    </row>
    <row r="895" spans="3:8" x14ac:dyDescent="0.3">
      <c r="C895" s="32"/>
      <c r="D895" s="32"/>
      <c r="E895" s="32"/>
      <c r="F895" s="32"/>
      <c r="G895" s="32"/>
      <c r="H895" s="32"/>
    </row>
    <row r="896" spans="3:8" x14ac:dyDescent="0.3">
      <c r="C896" s="32"/>
      <c r="D896" s="32"/>
      <c r="E896" s="32"/>
      <c r="F896" s="32"/>
      <c r="G896" s="32"/>
      <c r="H896" s="32"/>
    </row>
    <row r="897" spans="3:8" x14ac:dyDescent="0.3">
      <c r="C897" s="32"/>
      <c r="D897" s="32"/>
      <c r="E897" s="32"/>
      <c r="F897" s="32"/>
      <c r="G897" s="32"/>
      <c r="H897" s="32"/>
    </row>
    <row r="898" spans="3:8" x14ac:dyDescent="0.3">
      <c r="C898" s="32"/>
      <c r="D898" s="32"/>
      <c r="E898" s="32"/>
      <c r="F898" s="32"/>
      <c r="G898" s="32"/>
      <c r="H898" s="32"/>
    </row>
    <row r="899" spans="3:8" x14ac:dyDescent="0.3">
      <c r="C899" s="32"/>
      <c r="D899" s="32"/>
      <c r="E899" s="32"/>
      <c r="F899" s="32"/>
      <c r="G899" s="32"/>
      <c r="H899" s="32"/>
    </row>
    <row r="900" spans="3:8" x14ac:dyDescent="0.3">
      <c r="C900" s="32"/>
      <c r="D900" s="32"/>
      <c r="E900" s="32"/>
      <c r="F900" s="32"/>
      <c r="G900" s="32"/>
      <c r="H900" s="32"/>
    </row>
    <row r="901" spans="3:8" x14ac:dyDescent="0.3">
      <c r="C901" s="32"/>
      <c r="D901" s="32"/>
      <c r="E901" s="32"/>
      <c r="F901" s="32"/>
      <c r="G901" s="32"/>
      <c r="H901" s="32"/>
    </row>
    <row r="902" spans="3:8" x14ac:dyDescent="0.3">
      <c r="C902" s="32"/>
      <c r="D902" s="32"/>
      <c r="E902" s="32"/>
      <c r="F902" s="32"/>
      <c r="G902" s="32"/>
      <c r="H902" s="32"/>
    </row>
    <row r="903" spans="3:8" x14ac:dyDescent="0.3">
      <c r="C903" s="32"/>
      <c r="D903" s="32"/>
      <c r="E903" s="32"/>
      <c r="F903" s="32"/>
      <c r="G903" s="32"/>
      <c r="H903" s="32"/>
    </row>
    <row r="904" spans="3:8" x14ac:dyDescent="0.3">
      <c r="C904" s="32"/>
      <c r="D904" s="32"/>
      <c r="E904" s="32"/>
      <c r="F904" s="32"/>
      <c r="G904" s="32"/>
      <c r="H904" s="32"/>
    </row>
    <row r="905" spans="3:8" x14ac:dyDescent="0.3">
      <c r="C905" s="32"/>
      <c r="D905" s="32"/>
      <c r="E905" s="32"/>
      <c r="F905" s="32"/>
      <c r="G905" s="32"/>
      <c r="H905" s="32"/>
    </row>
    <row r="906" spans="3:8" x14ac:dyDescent="0.3">
      <c r="C906" s="32"/>
      <c r="D906" s="32"/>
      <c r="E906" s="32"/>
      <c r="F906" s="32"/>
      <c r="G906" s="32"/>
      <c r="H906" s="32"/>
    </row>
    <row r="907" spans="3:8" x14ac:dyDescent="0.3">
      <c r="C907" s="32"/>
      <c r="D907" s="32"/>
      <c r="E907" s="32"/>
      <c r="F907" s="32"/>
      <c r="G907" s="32"/>
      <c r="H907" s="32"/>
    </row>
    <row r="908" spans="3:8" x14ac:dyDescent="0.3">
      <c r="C908" s="32"/>
      <c r="D908" s="32"/>
      <c r="E908" s="32"/>
      <c r="F908" s="32"/>
      <c r="G908" s="32"/>
      <c r="H908" s="32"/>
    </row>
    <row r="909" spans="3:8" x14ac:dyDescent="0.3">
      <c r="C909" s="32"/>
      <c r="D909" s="32"/>
      <c r="E909" s="32"/>
      <c r="F909" s="32"/>
      <c r="G909" s="32"/>
      <c r="H909" s="32"/>
    </row>
    <row r="910" spans="3:8" x14ac:dyDescent="0.3">
      <c r="C910" s="32"/>
      <c r="D910" s="32"/>
      <c r="E910" s="32"/>
      <c r="F910" s="32"/>
      <c r="G910" s="32"/>
      <c r="H910" s="32"/>
    </row>
    <row r="911" spans="3:8" x14ac:dyDescent="0.3">
      <c r="C911" s="32"/>
      <c r="D911" s="32"/>
      <c r="E911" s="32"/>
      <c r="F911" s="32"/>
      <c r="G911" s="32"/>
      <c r="H911" s="32"/>
    </row>
    <row r="912" spans="3:8" x14ac:dyDescent="0.3">
      <c r="C912" s="32"/>
      <c r="D912" s="32"/>
      <c r="E912" s="32"/>
      <c r="F912" s="32"/>
      <c r="G912" s="32"/>
      <c r="H912" s="32"/>
    </row>
    <row r="913" spans="3:8" x14ac:dyDescent="0.3">
      <c r="C913" s="32"/>
      <c r="D913" s="32"/>
      <c r="E913" s="32"/>
      <c r="F913" s="32"/>
      <c r="G913" s="32"/>
      <c r="H913" s="32"/>
    </row>
    <row r="914" spans="3:8" x14ac:dyDescent="0.3">
      <c r="C914" s="32"/>
      <c r="D914" s="32"/>
      <c r="E914" s="32"/>
      <c r="F914" s="32"/>
      <c r="G914" s="32"/>
      <c r="H914" s="32"/>
    </row>
    <row r="915" spans="3:8" x14ac:dyDescent="0.3">
      <c r="C915" s="32"/>
      <c r="D915" s="32"/>
      <c r="E915" s="32"/>
      <c r="F915" s="32"/>
      <c r="G915" s="32"/>
      <c r="H915" s="32"/>
    </row>
    <row r="916" spans="3:8" x14ac:dyDescent="0.3">
      <c r="C916" s="32"/>
      <c r="D916" s="32"/>
      <c r="E916" s="32"/>
      <c r="F916" s="32"/>
      <c r="G916" s="32"/>
      <c r="H916" s="32"/>
    </row>
    <row r="917" spans="3:8" x14ac:dyDescent="0.3">
      <c r="C917" s="32"/>
      <c r="D917" s="32"/>
      <c r="E917" s="32"/>
      <c r="F917" s="32"/>
      <c r="G917" s="32"/>
      <c r="H917" s="32"/>
    </row>
    <row r="918" spans="3:8" x14ac:dyDescent="0.3">
      <c r="C918" s="32"/>
      <c r="D918" s="32"/>
      <c r="E918" s="32"/>
      <c r="F918" s="32"/>
      <c r="G918" s="32"/>
      <c r="H918" s="32"/>
    </row>
    <row r="919" spans="3:8" x14ac:dyDescent="0.3">
      <c r="C919" s="32"/>
      <c r="D919" s="32"/>
      <c r="E919" s="32"/>
      <c r="F919" s="32"/>
      <c r="G919" s="32"/>
      <c r="H919" s="32"/>
    </row>
    <row r="920" spans="3:8" x14ac:dyDescent="0.3">
      <c r="C920" s="32"/>
      <c r="D920" s="32"/>
      <c r="E920" s="32"/>
      <c r="F920" s="32"/>
      <c r="G920" s="32"/>
      <c r="H920" s="32"/>
    </row>
    <row r="921" spans="3:8" x14ac:dyDescent="0.3">
      <c r="C921" s="32"/>
      <c r="D921" s="32"/>
      <c r="E921" s="32"/>
      <c r="F921" s="32"/>
      <c r="G921" s="32"/>
      <c r="H921" s="32"/>
    </row>
    <row r="922" spans="3:8" x14ac:dyDescent="0.3">
      <c r="C922" s="32"/>
      <c r="D922" s="32"/>
      <c r="E922" s="32"/>
      <c r="F922" s="32"/>
      <c r="G922" s="32"/>
      <c r="H922" s="32"/>
    </row>
    <row r="923" spans="3:8" x14ac:dyDescent="0.3">
      <c r="C923" s="32"/>
      <c r="D923" s="32"/>
      <c r="E923" s="32"/>
      <c r="F923" s="32"/>
      <c r="G923" s="32"/>
      <c r="H923" s="32"/>
    </row>
    <row r="924" spans="3:8" x14ac:dyDescent="0.3">
      <c r="C924" s="32"/>
      <c r="D924" s="32"/>
      <c r="E924" s="32"/>
      <c r="F924" s="32"/>
      <c r="G924" s="32"/>
      <c r="H924" s="32"/>
    </row>
    <row r="925" spans="3:8" x14ac:dyDescent="0.3">
      <c r="C925" s="32"/>
      <c r="D925" s="32"/>
      <c r="E925" s="32"/>
      <c r="F925" s="32"/>
      <c r="G925" s="32"/>
      <c r="H925" s="32"/>
    </row>
    <row r="926" spans="3:8" x14ac:dyDescent="0.3">
      <c r="C926" s="32"/>
      <c r="D926" s="32"/>
      <c r="E926" s="32"/>
      <c r="F926" s="32"/>
      <c r="G926" s="32"/>
      <c r="H926" s="32"/>
    </row>
    <row r="927" spans="3:8" x14ac:dyDescent="0.3">
      <c r="C927" s="32"/>
      <c r="D927" s="32"/>
      <c r="E927" s="32"/>
      <c r="F927" s="32"/>
      <c r="G927" s="32"/>
      <c r="H927" s="32"/>
    </row>
    <row r="928" spans="3:8" x14ac:dyDescent="0.3">
      <c r="C928" s="32"/>
      <c r="D928" s="32"/>
      <c r="E928" s="32"/>
      <c r="F928" s="32"/>
      <c r="G928" s="32"/>
      <c r="H928" s="32"/>
    </row>
    <row r="929" spans="3:8" x14ac:dyDescent="0.3">
      <c r="C929" s="32"/>
      <c r="D929" s="32"/>
      <c r="E929" s="32"/>
      <c r="F929" s="32"/>
      <c r="G929" s="32"/>
      <c r="H929" s="32"/>
    </row>
    <row r="930" spans="3:8" x14ac:dyDescent="0.3">
      <c r="C930" s="32"/>
      <c r="D930" s="32"/>
      <c r="E930" s="32"/>
      <c r="F930" s="32"/>
      <c r="G930" s="32"/>
      <c r="H930" s="32"/>
    </row>
    <row r="931" spans="3:8" x14ac:dyDescent="0.3">
      <c r="C931" s="32"/>
      <c r="D931" s="32"/>
      <c r="E931" s="32"/>
      <c r="F931" s="32"/>
      <c r="G931" s="32"/>
      <c r="H931" s="32"/>
    </row>
    <row r="932" spans="3:8" x14ac:dyDescent="0.3">
      <c r="C932" s="32"/>
      <c r="D932" s="32"/>
      <c r="E932" s="32"/>
      <c r="F932" s="32"/>
      <c r="G932" s="32"/>
      <c r="H932" s="32"/>
    </row>
    <row r="933" spans="3:8" x14ac:dyDescent="0.3">
      <c r="C933" s="32"/>
      <c r="D933" s="32"/>
      <c r="E933" s="32"/>
      <c r="F933" s="32"/>
      <c r="G933" s="32"/>
      <c r="H933" s="32"/>
    </row>
    <row r="934" spans="3:8" x14ac:dyDescent="0.3">
      <c r="C934" s="32"/>
      <c r="D934" s="32"/>
      <c r="E934" s="32"/>
      <c r="F934" s="32"/>
      <c r="G934" s="32"/>
      <c r="H934" s="32"/>
    </row>
    <row r="935" spans="3:8" x14ac:dyDescent="0.3">
      <c r="C935" s="32"/>
      <c r="D935" s="32"/>
      <c r="E935" s="32"/>
      <c r="F935" s="32"/>
      <c r="G935" s="32"/>
      <c r="H935" s="32"/>
    </row>
    <row r="936" spans="3:8" x14ac:dyDescent="0.3">
      <c r="C936" s="32"/>
      <c r="D936" s="32"/>
      <c r="E936" s="32"/>
      <c r="F936" s="32"/>
      <c r="G936" s="32"/>
      <c r="H936" s="32"/>
    </row>
    <row r="937" spans="3:8" x14ac:dyDescent="0.3">
      <c r="C937" s="32"/>
      <c r="D937" s="32"/>
      <c r="E937" s="32"/>
      <c r="F937" s="32"/>
      <c r="G937" s="32"/>
      <c r="H937" s="32"/>
    </row>
    <row r="938" spans="3:8" x14ac:dyDescent="0.3">
      <c r="C938" s="32"/>
      <c r="D938" s="32"/>
      <c r="E938" s="32"/>
      <c r="F938" s="32"/>
      <c r="G938" s="32"/>
      <c r="H938" s="32"/>
    </row>
    <row r="939" spans="3:8" x14ac:dyDescent="0.3">
      <c r="C939" s="32"/>
      <c r="D939" s="32"/>
      <c r="E939" s="32"/>
      <c r="F939" s="32"/>
      <c r="G939" s="32"/>
      <c r="H939" s="32"/>
    </row>
    <row r="940" spans="3:8" x14ac:dyDescent="0.3">
      <c r="C940" s="32"/>
      <c r="D940" s="32"/>
      <c r="E940" s="32"/>
      <c r="F940" s="32"/>
      <c r="G940" s="32"/>
      <c r="H940" s="32"/>
    </row>
    <row r="941" spans="3:8" x14ac:dyDescent="0.3">
      <c r="C941" s="32"/>
      <c r="D941" s="32"/>
      <c r="E941" s="32"/>
      <c r="F941" s="32"/>
      <c r="G941" s="32"/>
      <c r="H941" s="32"/>
    </row>
    <row r="942" spans="3:8" x14ac:dyDescent="0.3">
      <c r="C942" s="32"/>
      <c r="D942" s="32"/>
      <c r="E942" s="32"/>
      <c r="F942" s="32"/>
      <c r="G942" s="32"/>
      <c r="H942" s="32"/>
    </row>
    <row r="943" spans="3:8" x14ac:dyDescent="0.3">
      <c r="C943" s="32"/>
      <c r="D943" s="32"/>
      <c r="E943" s="32"/>
      <c r="F943" s="32"/>
      <c r="G943" s="32"/>
      <c r="H943" s="32"/>
    </row>
    <row r="944" spans="3:8" x14ac:dyDescent="0.3">
      <c r="C944" s="32"/>
      <c r="D944" s="32"/>
      <c r="E944" s="32"/>
      <c r="F944" s="32"/>
      <c r="G944" s="32"/>
      <c r="H944" s="32"/>
    </row>
    <row r="945" spans="3:8" x14ac:dyDescent="0.3">
      <c r="C945" s="32"/>
      <c r="D945" s="32"/>
      <c r="E945" s="32"/>
      <c r="F945" s="32"/>
      <c r="G945" s="32"/>
      <c r="H945" s="32"/>
    </row>
    <row r="946" spans="3:8" x14ac:dyDescent="0.3">
      <c r="C946" s="32"/>
      <c r="D946" s="32"/>
      <c r="E946" s="32"/>
      <c r="F946" s="32"/>
      <c r="G946" s="32"/>
      <c r="H946" s="32"/>
    </row>
    <row r="947" spans="3:8" x14ac:dyDescent="0.3">
      <c r="C947" s="32"/>
      <c r="D947" s="32"/>
      <c r="E947" s="32"/>
      <c r="F947" s="32"/>
      <c r="G947" s="32"/>
      <c r="H947" s="32"/>
    </row>
    <row r="948" spans="3:8" x14ac:dyDescent="0.3">
      <c r="C948" s="32"/>
      <c r="D948" s="32"/>
      <c r="E948" s="32"/>
      <c r="F948" s="32"/>
      <c r="G948" s="32"/>
      <c r="H948" s="32"/>
    </row>
    <row r="949" spans="3:8" x14ac:dyDescent="0.3">
      <c r="C949" s="32"/>
      <c r="D949" s="32"/>
      <c r="E949" s="32"/>
      <c r="F949" s="32"/>
      <c r="G949" s="32"/>
      <c r="H949" s="32"/>
    </row>
    <row r="950" spans="3:8" x14ac:dyDescent="0.3">
      <c r="C950" s="32"/>
      <c r="D950" s="32"/>
      <c r="E950" s="32"/>
      <c r="F950" s="32"/>
      <c r="G950" s="32"/>
      <c r="H950" s="32"/>
    </row>
    <row r="951" spans="3:8" x14ac:dyDescent="0.3">
      <c r="C951" s="32"/>
      <c r="D951" s="32"/>
      <c r="E951" s="32"/>
      <c r="F951" s="32"/>
      <c r="G951" s="32"/>
      <c r="H951" s="32"/>
    </row>
    <row r="952" spans="3:8" x14ac:dyDescent="0.3">
      <c r="C952" s="32"/>
      <c r="D952" s="32"/>
      <c r="E952" s="32"/>
      <c r="F952" s="32"/>
      <c r="G952" s="32"/>
      <c r="H952" s="32"/>
    </row>
    <row r="953" spans="3:8" x14ac:dyDescent="0.3">
      <c r="C953" s="32"/>
      <c r="D953" s="32"/>
      <c r="E953" s="32"/>
      <c r="F953" s="32"/>
      <c r="G953" s="32"/>
      <c r="H953" s="32"/>
    </row>
    <row r="954" spans="3:8" x14ac:dyDescent="0.3">
      <c r="C954" s="32"/>
      <c r="D954" s="32"/>
      <c r="E954" s="32"/>
      <c r="F954" s="32"/>
      <c r="G954" s="32"/>
      <c r="H954" s="32"/>
    </row>
    <row r="955" spans="3:8" x14ac:dyDescent="0.3">
      <c r="C955" s="32"/>
      <c r="D955" s="32"/>
      <c r="E955" s="32"/>
      <c r="F955" s="32"/>
      <c r="G955" s="32"/>
      <c r="H955" s="32"/>
    </row>
    <row r="956" spans="3:8" x14ac:dyDescent="0.3">
      <c r="C956" s="32"/>
      <c r="D956" s="32"/>
      <c r="E956" s="32"/>
      <c r="F956" s="32"/>
      <c r="G956" s="32"/>
      <c r="H956" s="32"/>
    </row>
    <row r="957" spans="3:8" x14ac:dyDescent="0.3">
      <c r="C957" s="32"/>
      <c r="D957" s="32"/>
      <c r="E957" s="32"/>
      <c r="F957" s="32"/>
      <c r="G957" s="32"/>
      <c r="H957" s="32"/>
    </row>
    <row r="958" spans="3:8" x14ac:dyDescent="0.3">
      <c r="C958" s="32"/>
      <c r="D958" s="32"/>
      <c r="E958" s="32"/>
      <c r="F958" s="32"/>
      <c r="G958" s="32"/>
      <c r="H958" s="32"/>
    </row>
    <row r="959" spans="3:8" x14ac:dyDescent="0.3">
      <c r="C959" s="32"/>
      <c r="D959" s="32"/>
      <c r="E959" s="32"/>
      <c r="F959" s="32"/>
      <c r="G959" s="32"/>
      <c r="H959" s="32"/>
    </row>
    <row r="960" spans="3:8" x14ac:dyDescent="0.3">
      <c r="C960" s="32"/>
      <c r="D960" s="32"/>
      <c r="E960" s="32"/>
      <c r="F960" s="32"/>
      <c r="G960" s="32"/>
      <c r="H960" s="32"/>
    </row>
    <row r="961" spans="3:8" x14ac:dyDescent="0.3">
      <c r="C961" s="32"/>
      <c r="D961" s="32"/>
      <c r="E961" s="32"/>
      <c r="F961" s="32"/>
      <c r="G961" s="32"/>
      <c r="H961" s="32"/>
    </row>
    <row r="962" spans="3:8" x14ac:dyDescent="0.3">
      <c r="C962" s="32"/>
      <c r="D962" s="32"/>
      <c r="E962" s="32"/>
      <c r="F962" s="32"/>
      <c r="G962" s="32"/>
      <c r="H962" s="32"/>
    </row>
    <row r="963" spans="3:8" x14ac:dyDescent="0.3">
      <c r="C963" s="32"/>
      <c r="D963" s="32"/>
      <c r="E963" s="32"/>
      <c r="F963" s="32"/>
      <c r="G963" s="32"/>
      <c r="H963" s="32"/>
    </row>
    <row r="964" spans="3:8" x14ac:dyDescent="0.3">
      <c r="C964" s="32"/>
      <c r="D964" s="32"/>
      <c r="E964" s="32"/>
      <c r="F964" s="32"/>
      <c r="G964" s="32"/>
      <c r="H964" s="32"/>
    </row>
    <row r="965" spans="3:8" x14ac:dyDescent="0.3">
      <c r="C965" s="32"/>
      <c r="D965" s="32"/>
      <c r="E965" s="32"/>
      <c r="F965" s="32"/>
      <c r="G965" s="32"/>
      <c r="H965" s="32"/>
    </row>
    <row r="966" spans="3:8" x14ac:dyDescent="0.3">
      <c r="C966" s="32"/>
      <c r="D966" s="32"/>
      <c r="E966" s="32"/>
      <c r="F966" s="32"/>
      <c r="G966" s="32"/>
      <c r="H966" s="32"/>
    </row>
    <row r="967" spans="3:8" x14ac:dyDescent="0.3">
      <c r="C967" s="32"/>
      <c r="D967" s="32"/>
      <c r="E967" s="32"/>
      <c r="F967" s="32"/>
      <c r="G967" s="32"/>
      <c r="H967" s="32"/>
    </row>
    <row r="968" spans="3:8" x14ac:dyDescent="0.3">
      <c r="C968" s="32"/>
      <c r="D968" s="32"/>
      <c r="E968" s="32"/>
      <c r="F968" s="32"/>
      <c r="G968" s="32"/>
      <c r="H968" s="32"/>
    </row>
    <row r="969" spans="3:8" x14ac:dyDescent="0.3">
      <c r="C969" s="32"/>
      <c r="D969" s="32"/>
      <c r="E969" s="32"/>
      <c r="F969" s="32"/>
      <c r="G969" s="32"/>
      <c r="H969" s="32"/>
    </row>
    <row r="970" spans="3:8" x14ac:dyDescent="0.3">
      <c r="C970" s="32"/>
      <c r="D970" s="32"/>
      <c r="E970" s="32"/>
      <c r="F970" s="32"/>
      <c r="G970" s="32"/>
      <c r="H970" s="32"/>
    </row>
    <row r="971" spans="3:8" x14ac:dyDescent="0.3">
      <c r="C971" s="32"/>
      <c r="D971" s="32"/>
      <c r="E971" s="32"/>
      <c r="F971" s="32"/>
      <c r="G971" s="32"/>
      <c r="H971" s="32"/>
    </row>
    <row r="972" spans="3:8" x14ac:dyDescent="0.3">
      <c r="C972" s="32"/>
      <c r="D972" s="32"/>
      <c r="E972" s="32"/>
      <c r="F972" s="32"/>
      <c r="G972" s="32"/>
      <c r="H972" s="32"/>
    </row>
    <row r="973" spans="3:8" x14ac:dyDescent="0.3">
      <c r="C973" s="32"/>
      <c r="D973" s="32"/>
      <c r="E973" s="32"/>
      <c r="F973" s="32"/>
      <c r="G973" s="32"/>
      <c r="H973" s="32"/>
    </row>
    <row r="974" spans="3:8" x14ac:dyDescent="0.3">
      <c r="C974" s="32"/>
      <c r="D974" s="32"/>
      <c r="E974" s="32"/>
      <c r="F974" s="32"/>
      <c r="G974" s="32"/>
      <c r="H974" s="32"/>
    </row>
    <row r="975" spans="3:8" x14ac:dyDescent="0.3">
      <c r="C975" s="32"/>
      <c r="D975" s="32"/>
      <c r="E975" s="32"/>
      <c r="F975" s="32"/>
      <c r="G975" s="32"/>
      <c r="H975" s="32"/>
    </row>
    <row r="976" spans="3:8" x14ac:dyDescent="0.3">
      <c r="C976" s="32"/>
      <c r="D976" s="32"/>
      <c r="E976" s="32"/>
      <c r="F976" s="32"/>
      <c r="G976" s="32"/>
      <c r="H976" s="32"/>
    </row>
    <row r="977" spans="3:8" x14ac:dyDescent="0.3">
      <c r="C977" s="32"/>
      <c r="D977" s="32"/>
      <c r="E977" s="32"/>
      <c r="F977" s="32"/>
      <c r="G977" s="32"/>
      <c r="H977" s="32"/>
    </row>
    <row r="978" spans="3:8" x14ac:dyDescent="0.3">
      <c r="C978" s="32"/>
      <c r="D978" s="32"/>
      <c r="E978" s="32"/>
      <c r="F978" s="32"/>
      <c r="G978" s="32"/>
      <c r="H978" s="32"/>
    </row>
    <row r="979" spans="3:8" x14ac:dyDescent="0.3">
      <c r="C979" s="32"/>
      <c r="D979" s="32"/>
      <c r="E979" s="32"/>
      <c r="F979" s="32"/>
      <c r="G979" s="32"/>
      <c r="H979" s="32"/>
    </row>
    <row r="980" spans="3:8" x14ac:dyDescent="0.3">
      <c r="C980" s="32"/>
      <c r="D980" s="32"/>
      <c r="E980" s="32"/>
      <c r="F980" s="32"/>
      <c r="G980" s="32"/>
      <c r="H980" s="32"/>
    </row>
    <row r="981" spans="3:8" x14ac:dyDescent="0.3">
      <c r="C981" s="32"/>
      <c r="D981" s="32"/>
      <c r="E981" s="32"/>
      <c r="F981" s="32"/>
      <c r="G981" s="32"/>
      <c r="H981" s="32"/>
    </row>
    <row r="982" spans="3:8" x14ac:dyDescent="0.3">
      <c r="C982" s="32"/>
      <c r="D982" s="32"/>
      <c r="E982" s="32"/>
      <c r="F982" s="32"/>
      <c r="G982" s="32"/>
      <c r="H982" s="32"/>
    </row>
    <row r="983" spans="3:8" x14ac:dyDescent="0.3">
      <c r="C983" s="32"/>
      <c r="D983" s="32"/>
      <c r="E983" s="32"/>
      <c r="F983" s="32"/>
      <c r="G983" s="32"/>
      <c r="H983" s="32"/>
    </row>
    <row r="984" spans="3:8" x14ac:dyDescent="0.3">
      <c r="C984" s="32"/>
      <c r="D984" s="32"/>
      <c r="E984" s="32"/>
      <c r="F984" s="32"/>
      <c r="G984" s="32"/>
      <c r="H984" s="32"/>
    </row>
    <row r="985" spans="3:8" x14ac:dyDescent="0.3">
      <c r="C985" s="32"/>
      <c r="D985" s="32"/>
      <c r="E985" s="32"/>
      <c r="F985" s="32"/>
      <c r="G985" s="32"/>
      <c r="H985" s="32"/>
    </row>
    <row r="986" spans="3:8" x14ac:dyDescent="0.3">
      <c r="C986" s="32"/>
      <c r="D986" s="32"/>
      <c r="E986" s="32"/>
      <c r="F986" s="32"/>
      <c r="G986" s="32"/>
      <c r="H986" s="32"/>
    </row>
    <row r="987" spans="3:8" x14ac:dyDescent="0.3">
      <c r="C987" s="32"/>
      <c r="D987" s="32"/>
      <c r="E987" s="32"/>
      <c r="F987" s="32"/>
      <c r="G987" s="32"/>
      <c r="H987" s="32"/>
    </row>
    <row r="988" spans="3:8" x14ac:dyDescent="0.3">
      <c r="C988" s="32"/>
      <c r="D988" s="32"/>
      <c r="E988" s="32"/>
      <c r="F988" s="32"/>
      <c r="G988" s="32"/>
      <c r="H988" s="32"/>
    </row>
    <row r="989" spans="3:8" x14ac:dyDescent="0.3">
      <c r="C989" s="32"/>
      <c r="D989" s="32"/>
      <c r="E989" s="32"/>
      <c r="F989" s="32"/>
      <c r="G989" s="32"/>
      <c r="H989" s="32"/>
    </row>
    <row r="990" spans="3:8" x14ac:dyDescent="0.3">
      <c r="C990" s="32"/>
      <c r="D990" s="32"/>
      <c r="E990" s="32"/>
      <c r="F990" s="32"/>
      <c r="G990" s="32"/>
      <c r="H990" s="32"/>
    </row>
    <row r="991" spans="3:8" x14ac:dyDescent="0.3">
      <c r="C991" s="32"/>
      <c r="D991" s="32"/>
      <c r="E991" s="32"/>
      <c r="F991" s="32"/>
      <c r="G991" s="32"/>
      <c r="H991" s="32"/>
    </row>
    <row r="992" spans="3:8" x14ac:dyDescent="0.3">
      <c r="C992" s="32"/>
      <c r="D992" s="32"/>
      <c r="E992" s="32"/>
      <c r="F992" s="32"/>
      <c r="G992" s="32"/>
      <c r="H992" s="32"/>
    </row>
    <row r="993" spans="3:8" x14ac:dyDescent="0.3">
      <c r="C993" s="32"/>
      <c r="D993" s="32"/>
      <c r="E993" s="32"/>
      <c r="F993" s="32"/>
      <c r="G993" s="32"/>
      <c r="H993" s="32"/>
    </row>
    <row r="994" spans="3:8" x14ac:dyDescent="0.3">
      <c r="C994" s="32"/>
      <c r="D994" s="32"/>
      <c r="E994" s="32"/>
      <c r="F994" s="32"/>
      <c r="G994" s="32"/>
      <c r="H994" s="32"/>
    </row>
    <row r="995" spans="3:8" x14ac:dyDescent="0.3">
      <c r="C995" s="32"/>
      <c r="D995" s="32"/>
      <c r="E995" s="32"/>
      <c r="F995" s="32"/>
      <c r="G995" s="32"/>
      <c r="H995" s="32"/>
    </row>
    <row r="996" spans="3:8" x14ac:dyDescent="0.3">
      <c r="C996" s="32"/>
      <c r="D996" s="32"/>
      <c r="E996" s="32"/>
      <c r="F996" s="32"/>
      <c r="G996" s="32"/>
      <c r="H996" s="32"/>
    </row>
    <row r="997" spans="3:8" x14ac:dyDescent="0.3">
      <c r="C997" s="32"/>
      <c r="D997" s="32"/>
      <c r="E997" s="32"/>
      <c r="F997" s="32"/>
      <c r="G997" s="32"/>
      <c r="H997" s="32"/>
    </row>
    <row r="998" spans="3:8" x14ac:dyDescent="0.3">
      <c r="C998" s="32"/>
      <c r="D998" s="32"/>
      <c r="E998" s="32"/>
      <c r="F998" s="32"/>
      <c r="G998" s="32"/>
      <c r="H998" s="32"/>
    </row>
    <row r="999" spans="3:8" x14ac:dyDescent="0.3">
      <c r="C999" s="32"/>
      <c r="D999" s="32"/>
      <c r="E999" s="32"/>
      <c r="F999" s="32"/>
      <c r="G999" s="32"/>
      <c r="H999" s="32"/>
    </row>
    <row r="1000" spans="3:8" x14ac:dyDescent="0.3">
      <c r="C1000" s="32"/>
      <c r="D1000" s="32"/>
      <c r="E1000" s="32"/>
      <c r="F1000" s="32"/>
      <c r="G1000" s="32"/>
      <c r="H1000" s="32"/>
    </row>
  </sheetData>
  <mergeCells count="12">
    <mergeCell ref="BP72:BW72"/>
    <mergeCell ref="BX72:CE72"/>
    <mergeCell ref="CF72:CM72"/>
    <mergeCell ref="CN72:CU72"/>
    <mergeCell ref="BP17:BW17"/>
    <mergeCell ref="BX17:CE17"/>
    <mergeCell ref="CF17:CM17"/>
    <mergeCell ref="CN17:CU17"/>
    <mergeCell ref="BP47:BW47"/>
    <mergeCell ref="BX47:CE47"/>
    <mergeCell ref="CF47:CM47"/>
    <mergeCell ref="CN47:CU47"/>
  </mergeCells>
  <conditionalFormatting sqref="X104">
    <cfRule type="notContainsBlanks" dxfId="0" priority="1">
      <formula>LEN(TRIM(X104))&gt;0</formula>
    </cfRule>
  </conditionalFormatting>
  <conditionalFormatting sqref="AA79">
    <cfRule type="colorScale" priority="2">
      <colorScale>
        <cfvo type="min"/>
        <cfvo type="max"/>
        <color rgb="FF57BB8A"/>
        <color rgb="FFFFFFFF"/>
      </colorScale>
    </cfRule>
  </conditionalFormatting>
  <pageMargins left="0.7" right="0.7" top="0.75" bottom="0.75" header="0.3" footer="0.3"/>
  <pageSetup orientation="portrait" horizontalDpi="360" verticalDpi="360"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consolidado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Esteban</dc:creator>
  <cp:lastModifiedBy>Esteban</cp:lastModifiedBy>
  <dcterms:created xsi:type="dcterms:W3CDTF">2026-04-27T18:57:16Z</dcterms:created>
  <dcterms:modified xsi:type="dcterms:W3CDTF">2026-04-27T19:00:43Z</dcterms:modified>
</cp:coreProperties>
</file>